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活动立项五栏表" sheetId="2" state="visible" r:id="rId2"/>
    <sheet xmlns:r="http://schemas.openxmlformats.org/officeDocument/2006/relationships" name="早偿监测台账" sheetId="3" state="visible" r:id="rId3"/>
    <sheet xmlns:r="http://schemas.openxmlformats.org/officeDocument/2006/relationships" name="返佣管控协议要点核查表" sheetId="4" state="visible" r:id="rId4"/>
    <sheet xmlns:r="http://schemas.openxmlformats.org/officeDocument/2006/relationships" name="分期定价实测记录" sheetId="5" state="visible" r:id="rId5"/>
    <sheet xmlns:r="http://schemas.openxmlformats.org/officeDocument/2006/relationships" name="四象限资源分配表" sheetId="6" state="visible" r:id="rId6"/>
    <sheet xmlns:r="http://schemas.openxmlformats.org/officeDocument/2006/relationships" name="催收三段降损目标表" sheetId="7" state="visible" r:id="rId7"/>
    <sheet xmlns:r="http://schemas.openxmlformats.org/officeDocument/2006/relationships" name="口径对照表" sheetId="8" state="visible" r:id="rId8"/>
    <sheet xmlns:r="http://schemas.openxmlformats.org/officeDocument/2006/relationships" name="阈值验算表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0"/>
    </font>
    <font>
      <color rgb="009C6500"/>
      <sz val="10"/>
    </font>
    <font>
      <sz val="10"/>
    </font>
    <font>
      <color rgb="00C00000"/>
      <sz val="9"/>
    </font>
    <font>
      <color rgb="007F7F7F"/>
      <sz val="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8EA9DB"/>
      </patternFill>
    </fill>
    <fill>
      <patternFill patternType="solid">
        <fgColor rgb="00D9D9D9"/>
      </patternFill>
    </fill>
  </fills>
  <borders count="6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2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0" fillId="6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10" fontId="0" fillId="6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34" customWidth="1" min="3" max="3"/>
    <col width="34" customWidth="1" min="4" max="4"/>
    <col width="40" customWidth="1" min="5" max="5"/>
    <col width="22" customWidth="1" min="6" max="6"/>
  </cols>
  <sheetData>
    <row r="1" ht="26" customHeight="1">
      <c r="A1" s="1" t="inlineStr">
        <is>
          <t>信用卡方法论落地台账模板 · 总览（高迁移性 17 条）</t>
        </is>
      </c>
    </row>
    <row r="2" ht="30" customHeight="1">
      <c r="A2" s="2" t="inlineStr">
        <is>
          <t>方法出处：《信用卡方法论提取-专家分析报告.md》§6.4「对江苏银行当前工作的综合可迁移性排序——高（本月可动）」17 条，报告基于 A01–A17 阿蒙森洞察（2021–2022 历史样本）、B01–B07 行方业务材料、B05/B08 外部材料。</t>
        </is>
      </c>
    </row>
    <row r="3" ht="34" customHeight="1">
      <c r="A3" s="3" t="inlineStr">
        <is>
          <t>边界提醒：全部数值示例均为材料时点的历史样本（B01=2025-03、B02=2024-05、B05=2018-06 等），只说明方法设计，不得当作现行经营事实引用。</t>
        </is>
      </c>
    </row>
    <row r="4" ht="30" customHeight="1">
      <c r="A4" s="4" t="inlineStr">
        <is>
          <t>序号</t>
        </is>
      </c>
      <c r="B4" s="4" t="inlineStr">
        <is>
          <t>统一编号</t>
        </is>
      </c>
      <c r="C4" s="4" t="inlineStr">
        <is>
          <t>方法名</t>
        </is>
      </c>
      <c r="D4" s="4" t="inlineStr">
        <is>
          <t>出处（材料+页码）</t>
        </is>
      </c>
      <c r="E4" s="4" t="inlineStr">
        <is>
          <t>适用场景</t>
        </is>
      </c>
      <c r="F4" s="4" t="inlineStr">
        <is>
          <t>对应工作表</t>
        </is>
      </c>
    </row>
    <row r="5">
      <c r="A5" s="5" t="n">
        <v>1</v>
      </c>
      <c r="B5" s="5" t="inlineStr">
        <is>
          <t>B-01-01</t>
        </is>
      </c>
      <c r="C5" s="5" t="inlineStr">
        <is>
          <t>早偿率阈值与商户清退分层法</t>
        </is>
      </c>
      <c r="D5" s="5" t="inlineStr">
        <is>
          <t>B01 幻灯片 3、6；B07 幻灯片 17</t>
        </is>
      </c>
      <c r="E5" s="5" t="inlineStr">
        <is>
          <t>有商户/渠道返佣的分期业务，早偿风险管控</t>
        </is>
      </c>
      <c r="F5" s="5" t="inlineStr">
        <is>
          <t>早偿监测台账</t>
        </is>
      </c>
    </row>
    <row r="6">
      <c r="A6" s="5" t="n">
        <v>2</v>
      </c>
      <c r="B6" s="5" t="inlineStr">
        <is>
          <t>B-01-02</t>
        </is>
      </c>
      <c r="C6" s="5" t="inlineStr">
        <is>
          <t>返佣封顶与差额底线法</t>
        </is>
      </c>
      <c r="D6" s="5" t="inlineStr">
        <is>
          <t>B01 幻灯片 3、5</t>
        </is>
      </c>
      <c r="E6" s="5" t="inlineStr">
        <is>
          <t>所有「返佣/贴息换业务」模式的收益底线管控</t>
        </is>
      </c>
      <c r="F6" s="5" t="inlineStr">
        <is>
          <t>返佣管控协议要点核查表</t>
        </is>
      </c>
    </row>
    <row r="7">
      <c r="A7" s="5" t="n">
        <v>3</v>
      </c>
      <c r="B7" s="5" t="inlineStr">
        <is>
          <t>B-01-03</t>
        </is>
      </c>
      <c r="C7" s="5" t="inlineStr">
        <is>
          <t>追回率挂绩效负分法（考核绑定）</t>
        </is>
      </c>
      <c r="D7" s="5" t="inlineStr">
        <is>
          <t>B01 幻灯片 4、7</t>
        </is>
      </c>
      <c r="E7" s="5" t="inlineStr">
        <is>
          <t>直销/外包队伍的损失内化考核</t>
        </is>
      </c>
      <c r="F7" s="5" t="inlineStr">
        <is>
          <t>返佣管控协议要点核查表</t>
        </is>
      </c>
    </row>
    <row r="8">
      <c r="A8" s="5" t="n">
        <v>4</v>
      </c>
      <c r="B8" s="5" t="inlineStr">
        <is>
          <t>B-07-01</t>
        </is>
      </c>
      <c r="C8" s="5" t="inlineStr">
        <is>
          <t>高返下的早偿监测（mob3/6/12）</t>
        </is>
      </c>
      <c r="D8" s="5" t="inlineStr">
        <is>
          <t>B07 幻灯片 9</t>
        </is>
      </c>
      <c r="E8" s="5" t="inlineStr">
        <is>
          <t>任何「前置返佣+后期分期」资产的批量监测</t>
        </is>
      </c>
      <c r="F8" s="5" t="inlineStr">
        <is>
          <t>早偿监测台账</t>
        </is>
      </c>
    </row>
    <row r="9">
      <c r="A9" s="5" t="n">
        <v>5</v>
      </c>
      <c r="B9" s="5" t="inlineStr">
        <is>
          <t>B-07-02</t>
        </is>
      </c>
      <c r="C9" s="5" t="inlineStr">
        <is>
          <t>返佣摊销与追回联动法</t>
        </is>
      </c>
      <c r="D9" s="5" t="inlineStr">
        <is>
          <t>B07 幻灯片 15；B01 幻灯片 6、7</t>
        </is>
      </c>
      <c r="E9" s="5" t="inlineStr">
        <is>
          <t>佣金前置、还款后置业务的损失当期显性化</t>
        </is>
      </c>
      <c r="F9" s="5" t="inlineStr">
        <is>
          <t>返佣管控协议要点核查表</t>
        </is>
      </c>
    </row>
    <row r="10">
      <c r="A10" s="5" t="n">
        <v>6</v>
      </c>
      <c r="B10" s="5" t="inlineStr">
        <is>
          <t>B-02-01</t>
        </is>
      </c>
      <c r="C10" s="5" t="inlineStr">
        <is>
          <t>追回目标三段拆解法</t>
        </is>
      </c>
      <c r="D10" s="5" t="inlineStr">
        <is>
          <t>B02 幻灯片 10、11、12</t>
        </is>
      </c>
      <c r="E10" s="5" t="inlineStr">
        <is>
          <t>不良稳定期存量资产的催收目标管理</t>
        </is>
      </c>
      <c r="F10" s="5" t="inlineStr">
        <is>
          <t>催收三段降损目标表</t>
        </is>
      </c>
    </row>
    <row r="11">
      <c r="A11" s="5" t="n">
        <v>7</v>
      </c>
      <c r="B11" s="5" t="inlineStr">
        <is>
          <t>B-05-12</t>
        </is>
      </c>
      <c r="C11" s="5" t="inlineStr">
        <is>
          <t>收入结构解构＋口径还原法</t>
        </is>
      </c>
      <c r="D11" s="5" t="inlineStr">
        <is>
          <t>B05（天风证券 2018-06）PDF页码 6–9</t>
        </is>
      </c>
      <c r="E11" s="5" t="inlineStr">
        <is>
          <t>跨机构/跨口径比较前的口径统一</t>
        </is>
      </c>
      <c r="F11" s="5" t="inlineStr">
        <is>
          <t>口径对照表</t>
        </is>
      </c>
    </row>
    <row r="12">
      <c r="A12" s="5" t="n">
        <v>8</v>
      </c>
      <c r="B12" s="5" t="inlineStr">
        <is>
          <t>B-06-01</t>
        </is>
      </c>
      <c r="C12" s="5" t="inlineStr">
        <is>
          <t>分期核心指标分解法</t>
        </is>
      </c>
      <c r="D12" s="5" t="inlineStr">
        <is>
          <t>B06 幻灯片（第二层）</t>
        </is>
      </c>
      <c r="E12" s="5" t="inlineStr">
        <is>
          <t>分期 KPI 模板：结果指标与过程指标一起考核</t>
        </is>
      </c>
      <c r="F12" s="5" t="inlineStr">
        <is>
          <t>（并入分期定价实测记录的读数口径）</t>
        </is>
      </c>
    </row>
    <row r="13">
      <c r="A13" s="5" t="n">
        <v>9</v>
      </c>
      <c r="B13" s="5" t="inlineStr">
        <is>
          <t>B-06-04</t>
        </is>
      </c>
      <c r="C13" s="5" t="inlineStr">
        <is>
          <t>差异化定价 A/B 实测与客群切分法</t>
        </is>
      </c>
      <c r="D13" s="5" t="inlineStr">
        <is>
          <t>B06 幻灯片 30（举措5）</t>
        </is>
      </c>
      <c r="E13" s="5" t="inlineStr">
        <is>
          <t>先测再推的定价标准动作（4 周测试期）</t>
        </is>
      </c>
      <c r="F13" s="5" t="inlineStr">
        <is>
          <t>分期定价实测记录</t>
        </is>
      </c>
    </row>
    <row r="14">
      <c r="A14" s="5" t="n">
        <v>10</v>
      </c>
      <c r="B14" s="5" t="inlineStr">
        <is>
          <t>A01-03</t>
        </is>
      </c>
      <c r="C14" s="5" t="inlineStr">
        <is>
          <t>无对照组活动增量评估（PSM-DID／简化平行世界）</t>
        </is>
      </c>
      <c r="D14" s="5" t="inlineStr">
        <is>
          <t>A01 阿蒙森洞察-2022年第1期 PDF页码 9–10</t>
        </is>
      </c>
      <c r="E14" s="5" t="inlineStr">
        <is>
          <t>全量投放、无随机对照的活动效果评估</t>
        </is>
      </c>
      <c r="F14" s="5" t="inlineStr">
        <is>
          <t>活动立项五栏表</t>
        </is>
      </c>
    </row>
    <row r="15">
      <c r="A15" s="5" t="n">
        <v>11</v>
      </c>
      <c r="B15" s="5" t="inlineStr">
        <is>
          <t>A01-04</t>
        </is>
      </c>
      <c r="C15" s="5" t="inlineStr">
        <is>
          <t>活动定位→评价指标匹配（活动四分类）</t>
        </is>
      </c>
      <c r="D15" s="5" t="inlineStr">
        <is>
          <t>A01 PDF页码 8–9；A05 PDF页码 7；A06 PDF页码 8；A12 PDF页码 9</t>
        </is>
      </c>
      <c r="E15" s="5" t="inlineStr">
        <is>
          <t>活动立项时锁定主指标、防口径错配</t>
        </is>
      </c>
      <c r="F15" s="5" t="inlineStr">
        <is>
          <t>活动立项五栏表</t>
        </is>
      </c>
    </row>
    <row r="16">
      <c r="A16" s="5" t="n">
        <v>12</v>
      </c>
      <c r="B16" s="5" t="inlineStr">
        <is>
          <t>A06-01</t>
        </is>
      </c>
      <c r="C16" s="5" t="inlineStr">
        <is>
          <t>AB 双指标判读（相对提升＋结构占比）</t>
        </is>
      </c>
      <c r="D16" s="5" t="inlineStr">
        <is>
          <t>A06 PDF页码 4–7；A02 PDF页码 8–11</t>
        </is>
      </c>
      <c r="E16" s="5" t="inlineStr">
        <is>
          <t>权益/头图/话术测试，防单一指标自证成功</t>
        </is>
      </c>
      <c r="F16" s="5" t="inlineStr">
        <is>
          <t>活动立项五栏表</t>
        </is>
      </c>
    </row>
    <row r="17">
      <c r="A17" s="5" t="n">
        <v>13</v>
      </c>
      <c r="B17" s="5" t="inlineStr">
        <is>
          <t>A17-01</t>
        </is>
      </c>
      <c r="C17" s="5" t="inlineStr">
        <is>
          <t>意愿×营销响应四象限资源分配法</t>
        </is>
      </c>
      <c r="D17" s="5" t="inlineStr">
        <is>
          <t>A17 阿蒙森洞察报告-2021年第9期 PDF页码 9–10</t>
        </is>
      </c>
      <c r="E17" s="5" t="inlineStr">
        <is>
          <t>电销/外呼资源有限时的投放取舍</t>
        </is>
      </c>
      <c r="F17" s="5" t="inlineStr">
        <is>
          <t>四象限资源分配表</t>
        </is>
      </c>
    </row>
    <row r="18">
      <c r="A18" s="5" t="n">
        <v>14</v>
      </c>
      <c r="B18" s="5" t="inlineStr">
        <is>
          <t>B-05-13</t>
        </is>
      </c>
      <c r="C18" s="5" t="inlineStr">
        <is>
          <t>分期实际年化利率现金流测算法</t>
        </is>
      </c>
      <c r="D18" s="5" t="inlineStr">
        <is>
          <t>B05 PDF页码 9</t>
        </is>
      </c>
      <c r="E18" s="5" t="inlineStr">
        <is>
          <t>分期定价、以量补价测算、竞对价格对标</t>
        </is>
      </c>
      <c r="F18" s="5" t="inlineStr">
        <is>
          <t>阈值验算表</t>
        </is>
      </c>
    </row>
    <row r="19">
      <c r="A19" s="5" t="n">
        <v>15</v>
      </c>
      <c r="B19" s="5" t="inlineStr">
        <is>
          <t>B-05-15</t>
        </is>
      </c>
      <c r="C19" s="5" t="inlineStr">
        <is>
          <t>人均指标分母修正法</t>
        </is>
      </c>
      <c r="D19" s="5" t="inlineStr">
        <is>
          <t>B05 PDF页码 12–17</t>
        </is>
      </c>
      <c r="E19" s="5" t="inlineStr">
        <is>
          <t>报人均指标必须同时报分母</t>
        </is>
      </c>
      <c r="F19" s="5" t="inlineStr">
        <is>
          <t>口径对照表</t>
        </is>
      </c>
    </row>
    <row r="20">
      <c r="A20" s="5" t="n">
        <v>16</v>
      </c>
      <c r="B20" s="5" t="inlineStr">
        <is>
          <t>B-08-19</t>
        </is>
      </c>
      <c r="C20" s="5" t="inlineStr">
        <is>
          <t>必由之路＋资金通道预警</t>
        </is>
      </c>
      <c r="D20" s="5" t="inlineStr">
        <is>
          <t>B08（平台商务材料 2018-05）</t>
        </is>
      </c>
      <c r="E20" s="5" t="inlineStr">
        <is>
          <t>外部平台合作的定位判断（与「规则留行内」绑定）</t>
        </is>
      </c>
      <c r="F20" s="5" t="inlineStr">
        <is>
          <t>（使用纪律见 README，无独立台账）</t>
        </is>
      </c>
    </row>
    <row r="21">
      <c r="A21" s="5" t="n">
        <v>17</v>
      </c>
      <c r="B21" s="5" t="inlineStr">
        <is>
          <t>B-08-25</t>
        </is>
      </c>
      <c r="C21" s="5" t="inlineStr">
        <is>
          <t>合作方尽调七条（反向用尺）</t>
        </is>
      </c>
      <c r="D21" s="5" t="inlineStr">
        <is>
          <t>B08</t>
        </is>
      </c>
      <c r="E21" s="5" t="inlineStr">
        <is>
          <t>把「合作方能投入的资源」变成条款要求</t>
        </is>
      </c>
      <c r="F21" s="5" t="inlineStr">
        <is>
          <t>（使用纪律见 README，无独立台账）</t>
        </is>
      </c>
    </row>
    <row r="22">
      <c r="A22" s="5" t="n"/>
      <c r="B22" s="5" t="n"/>
      <c r="C22" s="5" t="n"/>
      <c r="D22" s="5" t="n"/>
      <c r="E22" s="5" t="n"/>
      <c r="F22" s="5" t="n"/>
    </row>
    <row r="23" ht="46" customHeight="1">
      <c r="A23" s="6" t="inlineStr">
        <is>
          <t>使用说明：① 每个工作表首两行为方法出处与边界提醒，填报前必读；② 灰色示例行均为历史样本，须按本行数据重算后另行填报；③ 下拉列点击单元格出现选项；④ 公式列（分级判定/象限判定/IRR）自动计算，请勿手工覆盖；⑤ 三条硬纪律详见 README.md：历史样本不当现行事实 / 阈值须本行重算 / 正负分同表。</t>
        </is>
      </c>
      <c r="B23" s="7" t="n"/>
      <c r="C23" s="7" t="n"/>
      <c r="D23" s="7" t="n"/>
      <c r="E23" s="7" t="n"/>
      <c r="F23" s="8" t="n"/>
    </row>
    <row r="24">
      <c r="A24" s="5" t="n"/>
      <c r="B24" s="5" t="n"/>
      <c r="C24" s="5" t="n"/>
      <c r="D24" s="5" t="n"/>
      <c r="E24" s="5" t="n"/>
      <c r="F24" s="5" t="n"/>
    </row>
  </sheetData>
  <mergeCells count="4">
    <mergeCell ref="A3:F3"/>
    <mergeCell ref="A2:F2"/>
    <mergeCell ref="A1:F1"/>
    <mergeCell ref="A23:F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8" customWidth="1" min="3" max="3"/>
    <col width="40" customWidth="1" min="4" max="4"/>
    <col width="20" customWidth="1" min="5" max="5"/>
    <col width="30" customWidth="1" min="6" max="6"/>
    <col width="26" customWidth="1" min="7" max="7"/>
    <col width="18" customWidth="1" min="8" max="8"/>
  </cols>
  <sheetData>
    <row r="1" ht="26" customHeight="1">
      <c r="A1" s="1" t="inlineStr">
        <is>
          <t>活动立项五栏表（立项即填，无栏不批）</t>
        </is>
      </c>
    </row>
    <row r="2" ht="30" customHeight="1">
      <c r="A2" s="2" t="inlineStr">
        <is>
          <t>方法出处：A01-03《阿蒙森洞察-2022年第1期》PDF页码 9–10；A01-04 同期 PDF页码 8–9（另见 A05 PDF页码7、A06 PDF页码8、A12 PDF页码9）。</t>
        </is>
      </c>
    </row>
    <row r="3" ht="34" customHeight="1">
      <c r="A3" s="3" t="inlineStr">
        <is>
          <t>边界提醒：A01-03 边界：外部冲击对活动组与全量客户影响不同质时，简化平行世界法会高估/低估增量；人群未拉齐则规模不可比。A01-04 边界：定位不清时任何指标都「看起来有提升」，用副指标表扬活动属口径错配。</t>
        </is>
      </c>
    </row>
    <row r="4" ht="30" customHeight="1">
      <c r="A4" s="4" t="inlineStr">
        <is>
          <t>活动名称</t>
        </is>
      </c>
      <c r="B4" s="4" t="inlineStr">
        <is>
          <t>定位四分类（下拉）</t>
        </is>
      </c>
      <c r="C4" s="4" t="inlineStr">
        <is>
          <t>主指标（由定位决定）</t>
        </is>
      </c>
      <c r="D4" s="4" t="inlineStr">
        <is>
          <t>口径定义（渗透率/增量金额/ROI 三条必填）</t>
        </is>
      </c>
      <c r="E4" s="4" t="inlineStr">
        <is>
          <t>对照组构造方式（平行世界/随机分流，下拉）</t>
        </is>
      </c>
      <c r="F4" s="4" t="inlineStr">
        <is>
          <t>对照组说明</t>
        </is>
      </c>
      <c r="G4" s="4" t="inlineStr">
        <is>
          <t>迭代结论</t>
        </is>
      </c>
      <c r="H4" s="4" t="inlineStr">
        <is>
          <t>备注</t>
        </is>
      </c>
    </row>
    <row r="5">
      <c r="A5" s="9" t="inlineStr">
        <is>
          <t>「618大促」历史样本示例，须按本行数据重算</t>
        </is>
      </c>
      <c r="B5" s="9" t="inlineStr">
        <is>
          <t>拉交易型</t>
        </is>
      </c>
      <c r="C5" s="9" t="inlineStr">
        <is>
          <t>增量交易金额</t>
        </is>
      </c>
      <c r="D5" s="9" t="inlineStr">
        <is>
          <t>渗透率=参与活动激活流通用户÷平均累计激活流通用户；增量交易金额=活动组大促期间交易金额−对照组同期（拉齐人数）；ROI=增量交易金额÷活动成本</t>
        </is>
      </c>
      <c r="E5" s="9" t="inlineStr">
        <is>
          <t>简化平行世界</t>
        </is>
      </c>
      <c r="F5" s="9" t="inlineStr">
        <is>
          <t>取参与客户活动前1个月自然表现＋全量客户两月户均差作为自然时间效应；对照组与活动组人数拉齐</t>
        </is>
      </c>
      <c r="G5" s="10" t="inlineStr">
        <is>
          <t>历史样本示例，须按本行数据重算</t>
        </is>
      </c>
      <c r="H5" s="9" t="inlineStr"/>
    </row>
    <row r="6">
      <c r="A6" s="5" t="n"/>
      <c r="B6" s="5" t="n"/>
      <c r="C6" s="5" t="n"/>
      <c r="D6" s="5" t="n"/>
      <c r="E6" s="5" t="n"/>
      <c r="F6" s="5" t="n"/>
      <c r="G6" s="5" t="n"/>
      <c r="H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</row>
  </sheetData>
  <mergeCells count="3">
    <mergeCell ref="A3:H3"/>
    <mergeCell ref="A2:H2"/>
    <mergeCell ref="A1:H1"/>
  </mergeCells>
  <dataValidations count="2">
    <dataValidation sqref="B5:B24" showDropDown="0" showInputMessage="0" showErrorMessage="0" allowBlank="1" errorTitle="定位四分类" error="请从下拉列表中选择" type="list">
      <formula1>"品牌型,促活型,拉交易型,拉分期型"</formula1>
    </dataValidation>
    <dataValidation sqref="E5:E24" showDropDown="0" showInputMessage="0" showErrorMessage="0" allowBlank="1" errorTitle="对照组构造" error="请从下拉列表中选择" type="list">
      <formula1>"平行世界（简化法）,随机分流（A/B）,PSM-DID（科学版）"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11" customWidth="1" min="4" max="4"/>
    <col width="11" customWidth="1" min="5" max="5"/>
    <col width="11" customWidth="1" min="6" max="6"/>
    <col width="22" customWidth="1" min="7" max="7"/>
    <col width="26" customWidth="1" min="8" max="8"/>
    <col width="24" customWidth="1" min="9" max="9"/>
  </cols>
  <sheetData>
    <row r="1" ht="26" customHeight="1">
      <c r="A1" s="1" t="inlineStr">
        <is>
          <t>早偿监测台账（mob3/mob6/mob12 + 分级自动判定）</t>
        </is>
      </c>
    </row>
    <row r="2" ht="30" customHeight="1">
      <c r="A2" s="2" t="inlineStr">
        <is>
          <t>方法出处：B-07-01《汽车分期业务经营分析会》幻灯片 9；B-01-01 B01 幻灯片 3、6，B07 幻灯片 17。</t>
        </is>
      </c>
    </row>
    <row r="3" ht="34" customHeight="1">
      <c r="A3" s="3" t="inlineStr">
        <is>
          <t>边界提醒：B-07-01 边界：新放款样本表现期不足，不能与成熟样本直接比大小，否则会低估真实早偿风险。B-01-01 边界：清退是硬动作，须配套「30 分钟内可替换的商户清单」；阈值需按品种重估（汽车/装修分期早偿规律不同）。</t>
        </is>
      </c>
    </row>
    <row r="4" ht="30" customHeight="1">
      <c r="A4" s="4" t="inlineStr">
        <is>
          <t>商户</t>
        </is>
      </c>
      <c r="B4" s="4" t="inlineStr">
        <is>
          <t>批次</t>
        </is>
      </c>
      <c r="C4" s="4" t="inlineStr">
        <is>
          <t>放款月</t>
        </is>
      </c>
      <c r="D4" s="4" t="inlineStr">
        <is>
          <t>mob3 早偿率</t>
        </is>
      </c>
      <c r="E4" s="4" t="inlineStr">
        <is>
          <t>mob6 早偿率</t>
        </is>
      </c>
      <c r="F4" s="4" t="inlineStr">
        <is>
          <t>mob12 早偿率</t>
        </is>
      </c>
      <c r="G4" s="4" t="inlineStr">
        <is>
          <t>分级判定（公式自动）</t>
        </is>
      </c>
      <c r="H4" s="4" t="inlineStr">
        <is>
          <t>本月动作</t>
        </is>
      </c>
      <c r="I4" s="4" t="inlineStr">
        <is>
          <t>备注</t>
        </is>
      </c>
    </row>
    <row r="5">
      <c r="A5" s="9" t="inlineStr">
        <is>
          <t>XX车商（历史样本示例，须按本行数据重算）</t>
        </is>
      </c>
      <c r="B5" s="9" t="inlineStr">
        <is>
          <t>2023H1</t>
        </is>
      </c>
      <c r="C5" s="9" t="inlineStr">
        <is>
          <t>2023-05</t>
        </is>
      </c>
      <c r="D5" s="11" t="n">
        <v>0.061</v>
      </c>
      <c r="E5" s="11" t="n">
        <v>0.068</v>
      </c>
      <c r="F5" s="11" t="n">
        <v>0.0752</v>
      </c>
      <c r="G5" s="9" t="n"/>
      <c r="H5" s="9" t="inlineStr">
        <is>
          <t>换签新版协议（历史样本动作）</t>
        </is>
      </c>
      <c r="I5" s="10" t="inlineStr">
        <is>
          <t>历史样本示例，须按本行数据重算</t>
        </is>
      </c>
    </row>
    <row r="6">
      <c r="A6" s="5" t="n"/>
      <c r="B6" s="5" t="n"/>
      <c r="C6" s="5" t="n"/>
      <c r="D6" s="12" t="n"/>
      <c r="E6" s="12" t="n"/>
      <c r="F6" s="12" t="n"/>
      <c r="G6" s="5">
        <f>IF(F6="","",IF(F6&lt;=0.05,"≤5% 继续合作",IF(F6&lt;=0.1,"5%-10% 换签新版协议","&gt;10% 清退")))</f>
        <v/>
      </c>
      <c r="H6" s="5" t="n"/>
      <c r="I6" s="5" t="n"/>
    </row>
    <row r="7">
      <c r="A7" s="5" t="n"/>
      <c r="B7" s="5" t="n"/>
      <c r="C7" s="5" t="n"/>
      <c r="D7" s="12" t="n"/>
      <c r="E7" s="12" t="n"/>
      <c r="F7" s="12" t="n"/>
      <c r="G7" s="5">
        <f>IF(F7="","",IF(F7&lt;=0.05,"≤5% 继续合作",IF(F7&lt;=0.1,"5%-10% 换签新版协议","&gt;10% 清退")))</f>
        <v/>
      </c>
      <c r="H7" s="5" t="n"/>
      <c r="I7" s="5" t="n"/>
    </row>
    <row r="8">
      <c r="A8" s="5" t="n"/>
      <c r="B8" s="5" t="n"/>
      <c r="C8" s="5" t="n"/>
      <c r="D8" s="12" t="n"/>
      <c r="E8" s="12" t="n"/>
      <c r="F8" s="12" t="n"/>
      <c r="G8" s="5">
        <f>IF(F8="","",IF(F8&lt;=0.05,"≤5% 继续合作",IF(F8&lt;=0.1,"5%-10% 换签新版协议","&gt;10% 清退")))</f>
        <v/>
      </c>
      <c r="H8" s="5" t="n"/>
      <c r="I8" s="5" t="n"/>
    </row>
    <row r="9">
      <c r="A9" s="5" t="n"/>
      <c r="B9" s="5" t="n"/>
      <c r="C9" s="5" t="n"/>
      <c r="D9" s="12" t="n"/>
      <c r="E9" s="12" t="n"/>
      <c r="F9" s="12" t="n"/>
      <c r="G9" s="5">
        <f>IF(F9="","",IF(F9&lt;=0.05,"≤5% 继续合作",IF(F9&lt;=0.1,"5%-10% 换签新版协议","&gt;10% 清退")))</f>
        <v/>
      </c>
      <c r="H9" s="5" t="n"/>
      <c r="I9" s="5" t="n"/>
    </row>
    <row r="10">
      <c r="A10" s="5" t="n"/>
      <c r="B10" s="5" t="n"/>
      <c r="C10" s="5" t="n"/>
      <c r="D10" s="12" t="n"/>
      <c r="E10" s="12" t="n"/>
      <c r="F10" s="12" t="n"/>
      <c r="G10" s="5">
        <f>IF(F10="","",IF(F10&lt;=0.05,"≤5% 继续合作",IF(F10&lt;=0.1,"5%-10% 换签新版协议","&gt;10% 清退")))</f>
        <v/>
      </c>
      <c r="H10" s="5" t="n"/>
      <c r="I10" s="5" t="n"/>
    </row>
    <row r="11">
      <c r="A11" s="5" t="n"/>
      <c r="B11" s="5" t="n"/>
      <c r="C11" s="5" t="n"/>
      <c r="D11" s="12" t="n"/>
      <c r="E11" s="12" t="n"/>
      <c r="F11" s="12" t="n"/>
      <c r="G11" s="5">
        <f>IF(F11="","",IF(F11&lt;=0.05,"≤5% 继续合作",IF(F11&lt;=0.1,"5%-10% 换签新版协议","&gt;10% 清退")))</f>
        <v/>
      </c>
      <c r="H11" s="5" t="n"/>
      <c r="I11" s="5" t="n"/>
    </row>
    <row r="12">
      <c r="A12" s="5" t="n"/>
      <c r="B12" s="5" t="n"/>
      <c r="C12" s="5" t="n"/>
      <c r="D12" s="12" t="n"/>
      <c r="E12" s="12" t="n"/>
      <c r="F12" s="12" t="n"/>
      <c r="G12" s="5">
        <f>IF(F12="","",IF(F12&lt;=0.05,"≤5% 继续合作",IF(F12&lt;=0.1,"5%-10% 换签新版协议","&gt;10% 清退")))</f>
        <v/>
      </c>
      <c r="H12" s="5" t="n"/>
      <c r="I12" s="5" t="n"/>
    </row>
    <row r="13">
      <c r="A13" s="5" t="n"/>
      <c r="B13" s="5" t="n"/>
      <c r="C13" s="5" t="n"/>
      <c r="D13" s="12" t="n"/>
      <c r="E13" s="12" t="n"/>
      <c r="F13" s="12" t="n"/>
      <c r="G13" s="5">
        <f>IF(F13="","",IF(F13&lt;=0.05,"≤5% 继续合作",IF(F13&lt;=0.1,"5%-10% 换签新版协议","&gt;10% 清退")))</f>
        <v/>
      </c>
      <c r="H13" s="5" t="n"/>
      <c r="I13" s="5" t="n"/>
    </row>
    <row r="14">
      <c r="A14" s="5" t="n"/>
      <c r="B14" s="5" t="n"/>
      <c r="C14" s="5" t="n"/>
      <c r="D14" s="12" t="n"/>
      <c r="E14" s="12" t="n"/>
      <c r="F14" s="12" t="n"/>
      <c r="G14" s="5">
        <f>IF(F14="","",IF(F14&lt;=0.05,"≤5% 继续合作",IF(F14&lt;=0.1,"5%-10% 换签新版协议","&gt;10% 清退")))</f>
        <v/>
      </c>
      <c r="H14" s="5" t="n"/>
      <c r="I14" s="5" t="n"/>
    </row>
    <row r="15">
      <c r="A15" s="5" t="n"/>
      <c r="B15" s="5" t="n"/>
      <c r="C15" s="5" t="n"/>
      <c r="D15" s="12" t="n"/>
      <c r="E15" s="12" t="n"/>
      <c r="F15" s="12" t="n"/>
      <c r="G15" s="5">
        <f>IF(F15="","",IF(F15&lt;=0.05,"≤5% 继续合作",IF(F15&lt;=0.1,"5%-10% 换签新版协议","&gt;10% 清退")))</f>
        <v/>
      </c>
      <c r="H15" s="5" t="n"/>
      <c r="I15" s="5" t="n"/>
    </row>
    <row r="16">
      <c r="A16" s="5" t="n"/>
      <c r="B16" s="5" t="n"/>
      <c r="C16" s="5" t="n"/>
      <c r="D16" s="12" t="n"/>
      <c r="E16" s="12" t="n"/>
      <c r="F16" s="12" t="n"/>
      <c r="G16" s="5">
        <f>IF(F16="","",IF(F16&lt;=0.05,"≤5% 继续合作",IF(F16&lt;=0.1,"5%-10% 换签新版协议","&gt;10% 清退")))</f>
        <v/>
      </c>
      <c r="H16" s="5" t="n"/>
      <c r="I16" s="5" t="n"/>
    </row>
    <row r="17">
      <c r="A17" s="5" t="n"/>
      <c r="B17" s="5" t="n"/>
      <c r="C17" s="5" t="n"/>
      <c r="D17" s="12" t="n"/>
      <c r="E17" s="12" t="n"/>
      <c r="F17" s="12" t="n"/>
      <c r="G17" s="5">
        <f>IF(F17="","",IF(F17&lt;=0.05,"≤5% 继续合作",IF(F17&lt;=0.1,"5%-10% 换签新版协议","&gt;10% 清退")))</f>
        <v/>
      </c>
      <c r="H17" s="5" t="n"/>
      <c r="I17" s="5" t="n"/>
    </row>
    <row r="18">
      <c r="A18" s="5" t="n"/>
      <c r="B18" s="5" t="n"/>
      <c r="C18" s="5" t="n"/>
      <c r="D18" s="12" t="n"/>
      <c r="E18" s="12" t="n"/>
      <c r="F18" s="12" t="n"/>
      <c r="G18" s="5">
        <f>IF(F18="","",IF(F18&lt;=0.05,"≤5% 继续合作",IF(F18&lt;=0.1,"5%-10% 换签新版协议","&gt;10% 清退")))</f>
        <v/>
      </c>
      <c r="H18" s="5" t="n"/>
      <c r="I18" s="5" t="n"/>
    </row>
    <row r="19">
      <c r="A19" s="5" t="n"/>
      <c r="B19" s="5" t="n"/>
      <c r="C19" s="5" t="n"/>
      <c r="D19" s="12" t="n"/>
      <c r="E19" s="12" t="n"/>
      <c r="F19" s="12" t="n"/>
      <c r="G19" s="5">
        <f>IF(F19="","",IF(F19&lt;=0.05,"≤5% 继续合作",IF(F19&lt;=0.1,"5%-10% 换签新版协议","&gt;10% 清退")))</f>
        <v/>
      </c>
      <c r="H19" s="5" t="n"/>
      <c r="I19" s="5" t="n"/>
    </row>
    <row r="20">
      <c r="A20" s="5" t="n"/>
      <c r="B20" s="5" t="n"/>
      <c r="C20" s="5" t="n"/>
      <c r="D20" s="12" t="n"/>
      <c r="E20" s="12" t="n"/>
      <c r="F20" s="12" t="n"/>
      <c r="G20" s="5">
        <f>IF(F20="","",IF(F20&lt;=0.05,"≤5% 继续合作",IF(F20&lt;=0.1,"5%-10% 换签新版协议","&gt;10% 清退")))</f>
        <v/>
      </c>
      <c r="H20" s="5" t="n"/>
      <c r="I20" s="5" t="n"/>
    </row>
    <row r="21">
      <c r="A21" s="5" t="n"/>
      <c r="B21" s="5" t="n"/>
      <c r="C21" s="5" t="n"/>
      <c r="D21" s="12" t="n"/>
      <c r="E21" s="12" t="n"/>
      <c r="F21" s="12" t="n"/>
      <c r="G21" s="5">
        <f>IF(F21="","",IF(F21&lt;=0.05,"≤5% 继续合作",IF(F21&lt;=0.1,"5%-10% 换签新版协议","&gt;10% 清退")))</f>
        <v/>
      </c>
      <c r="H21" s="5" t="n"/>
      <c r="I21" s="5" t="n"/>
    </row>
    <row r="22">
      <c r="A22" s="5" t="n"/>
      <c r="B22" s="5" t="n"/>
      <c r="C22" s="5" t="n"/>
      <c r="D22" s="12" t="n"/>
      <c r="E22" s="12" t="n"/>
      <c r="F22" s="12" t="n"/>
      <c r="G22" s="5">
        <f>IF(F22="","",IF(F22&lt;=0.05,"≤5% 继续合作",IF(F22&lt;=0.1,"5%-10% 换签新版协议","&gt;10% 清退")))</f>
        <v/>
      </c>
      <c r="H22" s="5" t="n"/>
      <c r="I22" s="5" t="n"/>
    </row>
    <row r="23">
      <c r="A23" s="5" t="n"/>
      <c r="B23" s="5" t="n"/>
      <c r="C23" s="5" t="n"/>
      <c r="D23" s="12" t="n"/>
      <c r="E23" s="12" t="n"/>
      <c r="F23" s="12" t="n"/>
      <c r="G23" s="5">
        <f>IF(F23="","",IF(F23&lt;=0.05,"≤5% 继续合作",IF(F23&lt;=0.1,"5%-10% 换签新版协议","&gt;10% 清退")))</f>
        <v/>
      </c>
      <c r="H23" s="5" t="n"/>
      <c r="I23" s="5" t="n"/>
    </row>
    <row r="24">
      <c r="A24" s="5" t="n"/>
      <c r="B24" s="5" t="n"/>
      <c r="C24" s="5" t="n"/>
      <c r="D24" s="12" t="n"/>
      <c r="E24" s="12" t="n"/>
      <c r="F24" s="12" t="n"/>
      <c r="G24" s="5">
        <f>IF(F24="","",IF(F24&lt;=0.05,"≤5% 继续合作",IF(F24&lt;=0.1,"5%-10% 换签新版协议","&gt;10% 清退")))</f>
        <v/>
      </c>
      <c r="H24" s="5" t="n"/>
      <c r="I24" s="5" t="n"/>
    </row>
    <row r="25">
      <c r="A25" s="5" t="n"/>
      <c r="B25" s="5" t="n"/>
      <c r="C25" s="5" t="n"/>
      <c r="D25" s="12" t="n"/>
      <c r="E25" s="12" t="n"/>
      <c r="F25" s="12" t="n"/>
      <c r="G25" s="5">
        <f>IF(F25="","",IF(F25&lt;=0.05,"≤5% 继续合作",IF(F25&lt;=0.1,"5%-10% 换签新版协议","&gt;10% 清退")))</f>
        <v/>
      </c>
      <c r="H25" s="5" t="n"/>
      <c r="I25" s="5" t="n"/>
    </row>
    <row r="26">
      <c r="A26" s="5" t="n"/>
      <c r="B26" s="5" t="n"/>
      <c r="C26" s="5" t="n"/>
      <c r="D26" s="12" t="n"/>
      <c r="E26" s="12" t="n"/>
      <c r="F26" s="12" t="n"/>
      <c r="G26" s="5">
        <f>IF(F26="","",IF(F26&lt;=0.05,"≤5% 继续合作",IF(F26&lt;=0.1,"5%-10% 换签新版协议","&gt;10% 清退")))</f>
        <v/>
      </c>
      <c r="H26" s="5" t="n"/>
      <c r="I26" s="5" t="n"/>
    </row>
    <row r="27">
      <c r="A27" s="5" t="n"/>
      <c r="B27" s="5" t="n"/>
      <c r="C27" s="5" t="n"/>
      <c r="D27" s="12" t="n"/>
      <c r="E27" s="12" t="n"/>
      <c r="F27" s="12" t="n"/>
      <c r="G27" s="5">
        <f>IF(F27="","",IF(F27&lt;=0.05,"≤5% 继续合作",IF(F27&lt;=0.1,"5%-10% 换签新版协议","&gt;10% 清退")))</f>
        <v/>
      </c>
      <c r="H27" s="5" t="n"/>
      <c r="I27" s="5" t="n"/>
    </row>
    <row r="28">
      <c r="A28" s="5" t="n"/>
      <c r="B28" s="5" t="n"/>
      <c r="C28" s="5" t="n"/>
      <c r="D28" s="12" t="n"/>
      <c r="E28" s="12" t="n"/>
      <c r="F28" s="12" t="n"/>
      <c r="G28" s="5">
        <f>IF(F28="","",IF(F28&lt;=0.05,"≤5% 继续合作",IF(F28&lt;=0.1,"5%-10% 换签新版协议","&gt;10% 清退")))</f>
        <v/>
      </c>
      <c r="H28" s="5" t="n"/>
      <c r="I28" s="5" t="n"/>
    </row>
    <row r="29">
      <c r="A29" s="5" t="n"/>
      <c r="B29" s="5" t="n"/>
      <c r="C29" s="5" t="n"/>
      <c r="D29" s="12" t="n"/>
      <c r="E29" s="12" t="n"/>
      <c r="F29" s="12" t="n"/>
      <c r="G29" s="5">
        <f>IF(F29="","",IF(F29&lt;=0.05,"≤5% 继续合作",IF(F29&lt;=0.1,"5%-10% 换签新版协议","&gt;10% 清退")))</f>
        <v/>
      </c>
      <c r="H29" s="5" t="n"/>
      <c r="I29" s="5" t="n"/>
    </row>
    <row r="31">
      <c r="A31" s="13" t="inlineStr">
        <is>
          <t>判定规则（B-01-01）：mob12 早偿率 ≤5% 继续合作；(5%,10%] 换签新版协议；&gt;10% 清退。阈值来源为财务测算（放款后一年早偿 11–12 笔/100 笔为净利润正负临界，再压一档得 6%），本行须重算，不得直接沿用 5%/10%。</t>
        </is>
      </c>
    </row>
  </sheetData>
  <mergeCells count="4">
    <mergeCell ref="A1:I1"/>
    <mergeCell ref="A3:I3"/>
    <mergeCell ref="A31:I31"/>
    <mergeCell ref="A2:I2"/>
  </mergeCells>
  <dataValidations count="1">
    <dataValidation sqref="H5:H29" showDropDown="0" showInputMessage="0" showErrorMessage="0" allowBlank="1" errorTitle="本月动作" error="请从下拉列表中选择" type="list">
      <formula1>"继续合作,换签新版协议,暂停业务/清退,列入替换清单"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26" customWidth="1" min="4" max="4"/>
    <col width="20" customWidth="1" min="5" max="5"/>
    <col width="20" customWidth="1" min="6" max="6"/>
    <col width="14" customWidth="1" min="7" max="7"/>
    <col width="20" customWidth="1" min="8" max="8"/>
    <col width="24" customWidth="1" min="9" max="9"/>
  </cols>
  <sheetData>
    <row r="1" ht="26" customHeight="1">
      <c r="A1" s="1" t="inlineStr">
        <is>
          <t>返佣管控协议要点核查表（逐商户/逐协议核查）</t>
        </is>
      </c>
    </row>
    <row r="2" ht="30" customHeight="1">
      <c r="A2" s="2" t="inlineStr">
        <is>
          <t>方法出处：B-01-02 B01 幻灯片 3、5；B-07-02 B07 幻灯片 15，B01 幻灯片 6、7；B-01-03 B01 幻灯片 4、7。</t>
        </is>
      </c>
    </row>
    <row r="3" ht="34" customHeight="1">
      <c r="A3" s="3" t="inlineStr">
        <is>
          <t>边界提醒：B-01-02 边界：只压返佣不动对客费率会丢规模，「封顶＋差额底线」两条必须一起下，否则分行会用降价绕开。B-07-02 边界：追回依赖协议换签进度，换签不到位则机制空转。B-01-03 边界：负分必须与正分同表同权重，只挂负分会让队伍退出该品种。</t>
        </is>
      </c>
    </row>
    <row r="4" ht="30" customHeight="1">
      <c r="A4" s="4" t="inlineStr">
        <is>
          <t>商户/渠道</t>
        </is>
      </c>
      <c r="B4" s="4" t="inlineStr">
        <is>
          <t>返佣合计封顶值</t>
        </is>
      </c>
      <c r="C4" s="4" t="inlineStr">
        <is>
          <t>对客费率−返佣差额底线值</t>
        </is>
      </c>
      <c r="D4" s="4" t="inlineStr">
        <is>
          <t>摊销方式</t>
        </is>
      </c>
      <c r="E4" s="4" t="inlineStr">
        <is>
          <t>追回三条款是否入协议（下拉）</t>
        </is>
      </c>
      <c r="F4" s="4" t="inlineStr">
        <is>
          <t>正负分同表是否配置（下拉）</t>
        </is>
      </c>
      <c r="G4" s="4" t="inlineStr">
        <is>
          <t>核查结论</t>
        </is>
      </c>
      <c r="H4" s="4" t="inlineStr">
        <is>
          <t>材料出处</t>
        </is>
      </c>
      <c r="I4" s="4" t="inlineStr">
        <is>
          <t>备注</t>
        </is>
      </c>
    </row>
    <row r="5">
      <c r="A5" s="9" t="inlineStr">
        <is>
          <t>XX经销商（历史样本示例，须按本行数据重算）</t>
        </is>
      </c>
      <c r="B5" s="9" t="inlineStr">
        <is>
          <t>≤14%（基础+阶梯+渠道合计）</t>
        </is>
      </c>
      <c r="C5" s="9" t="inlineStr">
        <is>
          <t>≥10%</t>
        </is>
      </c>
      <c r="D5" s="9" t="inlineStr">
        <is>
          <t>基础/阶梯佣金当月计提、按业务期数等额分摊；提前还款当月未分摊额度一次性摊销；渠道佣金不予计提摊销</t>
        </is>
      </c>
      <c r="E5" s="9" t="inlineStr">
        <is>
          <t>是</t>
        </is>
      </c>
      <c r="F5" s="9" t="inlineStr">
        <is>
          <t>是</t>
        </is>
      </c>
      <c r="G5" s="9" t="inlineStr">
        <is>
          <t>通过</t>
        </is>
      </c>
      <c r="H5" s="9" t="inlineStr">
        <is>
          <t>B01 幻3、5；B07 幻15</t>
        </is>
      </c>
      <c r="I5" s="10" t="inlineStr">
        <is>
          <t>历史样本示例，须按本行数据重算</t>
        </is>
      </c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</row>
    <row r="31">
      <c r="A31" s="13" t="inlineStr">
        <is>
          <t>核查要点：① 追回三条款＝结算前撤销/提前还款/客诉的业务不予支付佣金；已付佣金发生提前还款由商户退回或在下次结算抵扣；② 系统留痕：佣金抵扣功能须建立关联抵扣关系，追回记录有迹可查；③ 负分口径：追回比例≤50% 时按提前还款金额 -1分/万元，当期与半年各计50%；④ 正分对照须同表配置（如卡e贷新增 0.2分/万元/户等，历史样本，须本行重定）。封顶14%/差额10% 为 B01 历史样本值，本行须重算。</t>
        </is>
      </c>
    </row>
  </sheetData>
  <mergeCells count="4">
    <mergeCell ref="A1:I1"/>
    <mergeCell ref="A3:I3"/>
    <mergeCell ref="A31:I31"/>
    <mergeCell ref="A2:I2"/>
  </mergeCells>
  <dataValidations count="2">
    <dataValidation sqref="E5:E29" showDropDown="0" showInputMessage="0" showErrorMessage="0" allowBlank="1" errorTitle="追回三条款" error="请从下拉列表中选择" type="list">
      <formula1>"是,否,部分（须补签）"</formula1>
    </dataValidation>
    <dataValidation sqref="F5:F29" showDropDown="0" showInputMessage="0" showErrorMessage="0" allowBlank="1" errorTitle="正负分同表" error="请从下拉列表中选择" type="list">
      <formula1>"是,否"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18" customWidth="1" min="4" max="4"/>
    <col width="8" customWidth="1" min="5" max="5"/>
    <col width="11" customWidth="1" min="6" max="6"/>
    <col width="14" customWidth="1" min="7" max="7"/>
    <col width="13" customWidth="1" min="8" max="8"/>
    <col width="16" customWidth="1" min="9" max="9"/>
    <col width="24" customWidth="1" min="10" max="10"/>
    <col width="22" customWidth="1" min="11" max="11"/>
  </cols>
  <sheetData>
    <row r="1" ht="26" customHeight="1">
      <c r="A1" s="1" t="inlineStr">
        <is>
          <t>分期定价实测记录（4 周测试期 + 四件套周读数）</t>
        </is>
      </c>
    </row>
    <row r="2" ht="30" customHeight="1">
      <c r="A2" s="2" t="inlineStr">
        <is>
          <t>方法出处：B-06-04 B06 幻灯片 30（举措5）；读数口径对应 B-06-01 分期核心指标分解法。</t>
        </is>
      </c>
    </row>
    <row r="3" ht="34" customHeight="1">
      <c r="A3" s="3" t="inlineStr">
        <is>
          <t>边界提醒：B-06-04 边界：结论依赖测试期与客群结构，跨品种不可直接搬用；「以价补量」有价格底线，须先定最低定价与最低差额（对应 B-01-02）。</t>
        </is>
      </c>
    </row>
    <row r="4" ht="30" customHeight="1">
      <c r="A4" s="4" t="inlineStr">
        <is>
          <t>客群切分</t>
        </is>
      </c>
      <c r="B4" s="4" t="inlineStr">
        <is>
          <t>最低定价</t>
        </is>
      </c>
      <c r="C4" s="4" t="inlineStr">
        <is>
          <t>最低差额（对客费率−返佣）</t>
        </is>
      </c>
      <c r="D4" s="4" t="inlineStr">
        <is>
          <t>测试期起止（4周）</t>
        </is>
      </c>
      <c r="E4" s="4" t="inlineStr">
        <is>
          <t>周次</t>
        </is>
      </c>
      <c r="F4" s="4" t="inlineStr">
        <is>
          <t>户渗透率</t>
        </is>
      </c>
      <c r="G4" s="4" t="inlineStr">
        <is>
          <t>分期交易额（环比）</t>
        </is>
      </c>
      <c r="H4" s="4" t="inlineStr">
        <is>
          <t>户均分期金额</t>
        </is>
      </c>
      <c r="I4" s="4" t="inlineStr">
        <is>
          <t>分期手续费收入（环比）</t>
        </is>
      </c>
      <c r="J4" s="4" t="inlineStr">
        <is>
          <t>固化结论</t>
        </is>
      </c>
      <c r="K4" s="4" t="inlineStr">
        <is>
          <t>备注</t>
        </is>
      </c>
    </row>
    <row r="5">
      <c r="A5" s="9" t="inlineStr">
        <is>
          <t>首分客户（历史样本示例，须按本行数据重算）</t>
        </is>
      </c>
      <c r="B5" s="9" t="inlineStr">
        <is>
          <t>按行内测算填列</t>
        </is>
      </c>
      <c r="C5" s="9" t="inlineStr">
        <is>
          <t>≥10%（历史样本口径）</t>
        </is>
      </c>
      <c r="D5" s="9" t="inlineStr">
        <is>
          <t>6.10–7.7（历史样本）</t>
        </is>
      </c>
      <c r="E5" s="9" t="inlineStr">
        <is>
          <t>W1</t>
        </is>
      </c>
      <c r="F5" s="11" t="n">
        <v>0.0361</v>
      </c>
      <c r="G5" s="9" t="n"/>
      <c r="H5" s="9" t="n">
        <v>2757</v>
      </c>
      <c r="I5" s="9" t="n"/>
      <c r="J5" s="9" t="inlineStr"/>
      <c r="K5" s="10" t="inlineStr">
        <is>
          <t>历史样本示例，须按本行数据重算</t>
        </is>
      </c>
    </row>
    <row r="6">
      <c r="A6" s="9" t="inlineStr">
        <is>
          <t>复分客户（历史样本示例）</t>
        </is>
      </c>
      <c r="B6" s="9" t="inlineStr"/>
      <c r="C6" s="9" t="inlineStr"/>
      <c r="D6" s="9" t="inlineStr"/>
      <c r="E6" s="9" t="inlineStr">
        <is>
          <t>W4</t>
        </is>
      </c>
      <c r="F6" s="11" t="n">
        <v>0.0375</v>
      </c>
      <c r="G6" s="9" t="inlineStr">
        <is>
          <t>+12.8%</t>
        </is>
      </c>
      <c r="H6" s="9" t="n">
        <v>2948</v>
      </c>
      <c r="I6" s="9" t="inlineStr">
        <is>
          <t>+7.3%</t>
        </is>
      </c>
      <c r="J6" s="9" t="inlineStr">
        <is>
          <t>固化为例行差异化定价活动（历史样本结论）</t>
        </is>
      </c>
      <c r="K6" s="10" t="inlineStr">
        <is>
          <t>历史样本示例，须按本行数据重算</t>
        </is>
      </c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</row>
  </sheetData>
  <mergeCells count="3">
    <mergeCell ref="A2:K2"/>
    <mergeCell ref="A1:K1"/>
    <mergeCell ref="A3:K3"/>
  </mergeCells>
  <dataValidations count="2">
    <dataValidation sqref="A5:A24" showDropDown="0" showInputMessage="0" showErrorMessage="0" allowBlank="1" errorTitle="客群切分" error="请从下拉列表中选择" type="list">
      <formula1>"首分客户,复分客户"</formula1>
    </dataValidation>
    <dataValidation sqref="E5:E24" showDropDown="0" showInputMessage="0" showErrorMessage="0" allowBlank="1" errorTitle="周次" error="请从下拉列表中选择" type="list">
      <formula1>"W1,W2,W3,W4"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26" customWidth="1" min="4" max="4"/>
    <col width="22" customWidth="1" min="5" max="5"/>
    <col width="14" customWidth="1" min="6" max="6"/>
    <col width="10" customWidth="1" min="7" max="7"/>
    <col width="24" customWidth="1" min="8" max="8"/>
  </cols>
  <sheetData>
    <row r="1" ht="26" customHeight="1">
      <c r="A1" s="1" t="inlineStr">
        <is>
          <t>四象限资源分配表（自然激活意愿 × 营销响应）</t>
        </is>
      </c>
    </row>
    <row r="2" ht="30" customHeight="1">
      <c r="A2" s="2" t="inlineStr">
        <is>
          <t>方法出处：A17-01《阿蒙森洞察报告-2021年第9期》PDF页码 9–10。</t>
        </is>
      </c>
    </row>
    <row r="3" ht="34" customHeight="1">
      <c r="A3" s="3" t="inlineStr">
        <is>
          <t>边界提醒：A17-01 边界：该分类是建模输出而非客户固有属性，模型漂移须重检；对①④象限「不做营销」是主动放弃触达，须确认合规与客户体验可接受；第③类「减少获客规模」冲击发卡量 KPI，需管理层级目标一致。前提是把「减少打扰」写入考核，否则执行不下去。</t>
        </is>
      </c>
    </row>
    <row r="4" ht="30" customHeight="1">
      <c r="A4" s="4" t="inlineStr">
        <is>
          <t>客群分层</t>
        </is>
      </c>
      <c r="B4" s="4" t="inlineStr">
        <is>
          <t>意愿分（自然激活）</t>
        </is>
      </c>
      <c r="C4" s="4" t="inlineStr">
        <is>
          <t>响应分（营销敏感）</t>
        </is>
      </c>
      <c r="D4" s="4" t="inlineStr">
        <is>
          <t>象限判定（公式自动）</t>
        </is>
      </c>
      <c r="E4" s="4" t="inlineStr">
        <is>
          <t>策略（下拉）</t>
        </is>
      </c>
      <c r="F4" s="4" t="inlineStr">
        <is>
          <t>合规确认（是/否）</t>
        </is>
      </c>
      <c r="G4" s="4" t="inlineStr">
        <is>
          <t>复核人</t>
        </is>
      </c>
      <c r="H4" s="4" t="inlineStr">
        <is>
          <t>备注</t>
        </is>
      </c>
    </row>
    <row r="5">
      <c r="A5" s="9" t="inlineStr">
        <is>
          <t>示例客群（历史样本示例，须按本行数据重算）</t>
        </is>
      </c>
      <c r="B5" s="9" t="n">
        <v>0.75</v>
      </c>
      <c r="C5" s="9" t="n">
        <v>0.3</v>
      </c>
      <c r="D5" s="9" t="n"/>
      <c r="E5" s="9" t="inlineStr">
        <is>
          <t>维持观察</t>
        </is>
      </c>
      <c r="F5" s="9" t="inlineStr">
        <is>
          <t>是</t>
        </is>
      </c>
      <c r="G5" s="9" t="inlineStr"/>
      <c r="H5" s="10" t="inlineStr">
        <is>
          <t>历史样本示例，须按本行数据重算</t>
        </is>
      </c>
    </row>
    <row r="6">
      <c r="A6" s="5" t="n"/>
      <c r="B6" s="5" t="n"/>
      <c r="C6" s="5" t="n"/>
      <c r="D6" s="5">
        <f>IF(OR(B6="",C6=""),"",IF(AND(B6&gt;=0.5,C6&gt;=0.5),"①优质用户（自然激活，勿扰）",IF(AND(B6&lt;0.5,C6&gt;=0.5),"②摇摆用户（营销敏感，加投）",IF(AND(B6&gt;=0.5,C6&lt;0.5),"④睡眠用户（对营销反感，停止打扰）","③无动于衷（获客资源降级）"))))</f>
        <v/>
      </c>
      <c r="E6" s="5" t="n"/>
      <c r="F6" s="5" t="n"/>
      <c r="G6" s="5" t="n"/>
      <c r="H6" s="5" t="n"/>
    </row>
    <row r="7">
      <c r="A7" s="5" t="n"/>
      <c r="B7" s="5" t="n"/>
      <c r="C7" s="5" t="n"/>
      <c r="D7" s="5">
        <f>IF(OR(B7="",C7=""),"",IF(AND(B7&gt;=0.5,C7&gt;=0.5),"①优质用户（自然激活，勿扰）",IF(AND(B7&lt;0.5,C7&gt;=0.5),"②摇摆用户（营销敏感，加投）",IF(AND(B7&gt;=0.5,C7&lt;0.5),"④睡眠用户（对营销反感，停止打扰）","③无动于衷（获客资源降级）"))))</f>
        <v/>
      </c>
      <c r="E7" s="5" t="n"/>
      <c r="F7" s="5" t="n"/>
      <c r="G7" s="5" t="n"/>
      <c r="H7" s="5" t="n"/>
    </row>
    <row r="8">
      <c r="A8" s="5" t="n"/>
      <c r="B8" s="5" t="n"/>
      <c r="C8" s="5" t="n"/>
      <c r="D8" s="5">
        <f>IF(OR(B8="",C8=""),"",IF(AND(B8&gt;=0.5,C8&gt;=0.5),"①优质用户（自然激活，勿扰）",IF(AND(B8&lt;0.5,C8&gt;=0.5),"②摇摆用户（营销敏感，加投）",IF(AND(B8&gt;=0.5,C8&lt;0.5),"④睡眠用户（对营销反感，停止打扰）","③无动于衷（获客资源降级）"))))</f>
        <v/>
      </c>
      <c r="E8" s="5" t="n"/>
      <c r="F8" s="5" t="n"/>
      <c r="G8" s="5" t="n"/>
      <c r="H8" s="5" t="n"/>
    </row>
    <row r="9">
      <c r="A9" s="5" t="n"/>
      <c r="B9" s="5" t="n"/>
      <c r="C9" s="5" t="n"/>
      <c r="D9" s="5">
        <f>IF(OR(B9="",C9=""),"",IF(AND(B9&gt;=0.5,C9&gt;=0.5),"①优质用户（自然激活，勿扰）",IF(AND(B9&lt;0.5,C9&gt;=0.5),"②摇摆用户（营销敏感，加投）",IF(AND(B9&gt;=0.5,C9&lt;0.5),"④睡眠用户（对营销反感，停止打扰）","③无动于衷（获客资源降级）"))))</f>
        <v/>
      </c>
      <c r="E9" s="5" t="n"/>
      <c r="F9" s="5" t="n"/>
      <c r="G9" s="5" t="n"/>
      <c r="H9" s="5" t="n"/>
    </row>
    <row r="10">
      <c r="A10" s="5" t="n"/>
      <c r="B10" s="5" t="n"/>
      <c r="C10" s="5" t="n"/>
      <c r="D10" s="5">
        <f>IF(OR(B10="",C10=""),"",IF(AND(B10&gt;=0.5,C10&gt;=0.5),"①优质用户（自然激活，勿扰）",IF(AND(B10&lt;0.5,C10&gt;=0.5),"②摇摆用户（营销敏感，加投）",IF(AND(B10&gt;=0.5,C10&lt;0.5),"④睡眠用户（对营销反感，停止打扰）","③无动于衷（获客资源降级）"))))</f>
        <v/>
      </c>
      <c r="E10" s="5" t="n"/>
      <c r="F10" s="5" t="n"/>
      <c r="G10" s="5" t="n"/>
      <c r="H10" s="5" t="n"/>
    </row>
    <row r="11">
      <c r="A11" s="5" t="n"/>
      <c r="B11" s="5" t="n"/>
      <c r="C11" s="5" t="n"/>
      <c r="D11" s="5">
        <f>IF(OR(B11="",C11=""),"",IF(AND(B11&gt;=0.5,C11&gt;=0.5),"①优质用户（自然激活，勿扰）",IF(AND(B11&lt;0.5,C11&gt;=0.5),"②摇摆用户（营销敏感，加投）",IF(AND(B11&gt;=0.5,C11&lt;0.5),"④睡眠用户（对营销反感，停止打扰）","③无动于衷（获客资源降级）"))))</f>
        <v/>
      </c>
      <c r="E11" s="5" t="n"/>
      <c r="F11" s="5" t="n"/>
      <c r="G11" s="5" t="n"/>
      <c r="H11" s="5" t="n"/>
    </row>
    <row r="12">
      <c r="A12" s="5" t="n"/>
      <c r="B12" s="5" t="n"/>
      <c r="C12" s="5" t="n"/>
      <c r="D12" s="5">
        <f>IF(OR(B12="",C12=""),"",IF(AND(B12&gt;=0.5,C12&gt;=0.5),"①优质用户（自然激活，勿扰）",IF(AND(B12&lt;0.5,C12&gt;=0.5),"②摇摆用户（营销敏感，加投）",IF(AND(B12&gt;=0.5,C12&lt;0.5),"④睡眠用户（对营销反感，停止打扰）","③无动于衷（获客资源降级）"))))</f>
        <v/>
      </c>
      <c r="E12" s="5" t="n"/>
      <c r="F12" s="5" t="n"/>
      <c r="G12" s="5" t="n"/>
      <c r="H12" s="5" t="n"/>
    </row>
    <row r="13">
      <c r="A13" s="5" t="n"/>
      <c r="B13" s="5" t="n"/>
      <c r="C13" s="5" t="n"/>
      <c r="D13" s="5">
        <f>IF(OR(B13="",C13=""),"",IF(AND(B13&gt;=0.5,C13&gt;=0.5),"①优质用户（自然激活，勿扰）",IF(AND(B13&lt;0.5,C13&gt;=0.5),"②摇摆用户（营销敏感，加投）",IF(AND(B13&gt;=0.5,C13&lt;0.5),"④睡眠用户（对营销反感，停止打扰）","③无动于衷（获客资源降级）"))))</f>
        <v/>
      </c>
      <c r="E13" s="5" t="n"/>
      <c r="F13" s="5" t="n"/>
      <c r="G13" s="5" t="n"/>
      <c r="H13" s="5" t="n"/>
    </row>
    <row r="14">
      <c r="A14" s="5" t="n"/>
      <c r="B14" s="5" t="n"/>
      <c r="C14" s="5" t="n"/>
      <c r="D14" s="5">
        <f>IF(OR(B14="",C14=""),"",IF(AND(B14&gt;=0.5,C14&gt;=0.5),"①优质用户（自然激活，勿扰）",IF(AND(B14&lt;0.5,C14&gt;=0.5),"②摇摆用户（营销敏感，加投）",IF(AND(B14&gt;=0.5,C14&lt;0.5),"④睡眠用户（对营销反感，停止打扰）","③无动于衷（获客资源降级）"))))</f>
        <v/>
      </c>
      <c r="E14" s="5" t="n"/>
      <c r="F14" s="5" t="n"/>
      <c r="G14" s="5" t="n"/>
      <c r="H14" s="5" t="n"/>
    </row>
    <row r="15">
      <c r="A15" s="5" t="n"/>
      <c r="B15" s="5" t="n"/>
      <c r="C15" s="5" t="n"/>
      <c r="D15" s="5">
        <f>IF(OR(B15="",C15=""),"",IF(AND(B15&gt;=0.5,C15&gt;=0.5),"①优质用户（自然激活，勿扰）",IF(AND(B15&lt;0.5,C15&gt;=0.5),"②摇摆用户（营销敏感，加投）",IF(AND(B15&gt;=0.5,C15&lt;0.5),"④睡眠用户（对营销反感，停止打扰）","③无动于衷（获客资源降级）"))))</f>
        <v/>
      </c>
      <c r="E15" s="5" t="n"/>
      <c r="F15" s="5" t="n"/>
      <c r="G15" s="5" t="n"/>
      <c r="H15" s="5" t="n"/>
    </row>
    <row r="16">
      <c r="A16" s="5" t="n"/>
      <c r="B16" s="5" t="n"/>
      <c r="C16" s="5" t="n"/>
      <c r="D16" s="5">
        <f>IF(OR(B16="",C16=""),"",IF(AND(B16&gt;=0.5,C16&gt;=0.5),"①优质用户（自然激活，勿扰）",IF(AND(B16&lt;0.5,C16&gt;=0.5),"②摇摆用户（营销敏感，加投）",IF(AND(B16&gt;=0.5,C16&lt;0.5),"④睡眠用户（对营销反感，停止打扰）","③无动于衷（获客资源降级）"))))</f>
        <v/>
      </c>
      <c r="E16" s="5" t="n"/>
      <c r="F16" s="5" t="n"/>
      <c r="G16" s="5" t="n"/>
      <c r="H16" s="5" t="n"/>
    </row>
    <row r="17">
      <c r="A17" s="5" t="n"/>
      <c r="B17" s="5" t="n"/>
      <c r="C17" s="5" t="n"/>
      <c r="D17" s="5">
        <f>IF(OR(B17="",C17=""),"",IF(AND(B17&gt;=0.5,C17&gt;=0.5),"①优质用户（自然激活，勿扰）",IF(AND(B17&lt;0.5,C17&gt;=0.5),"②摇摆用户（营销敏感，加投）",IF(AND(B17&gt;=0.5,C17&lt;0.5),"④睡眠用户（对营销反感，停止打扰）","③无动于衷（获客资源降级）"))))</f>
        <v/>
      </c>
      <c r="E17" s="5" t="n"/>
      <c r="F17" s="5" t="n"/>
      <c r="G17" s="5" t="n"/>
      <c r="H17" s="5" t="n"/>
    </row>
    <row r="18">
      <c r="A18" s="5" t="n"/>
      <c r="B18" s="5" t="n"/>
      <c r="C18" s="5" t="n"/>
      <c r="D18" s="5">
        <f>IF(OR(B18="",C18=""),"",IF(AND(B18&gt;=0.5,C18&gt;=0.5),"①优质用户（自然激活，勿扰）",IF(AND(B18&lt;0.5,C18&gt;=0.5),"②摇摆用户（营销敏感，加投）",IF(AND(B18&gt;=0.5,C18&lt;0.5),"④睡眠用户（对营销反感，停止打扰）","③无动于衷（获客资源降级）"))))</f>
        <v/>
      </c>
      <c r="E18" s="5" t="n"/>
      <c r="F18" s="5" t="n"/>
      <c r="G18" s="5" t="n"/>
      <c r="H18" s="5" t="n"/>
    </row>
    <row r="19">
      <c r="A19" s="5" t="n"/>
      <c r="B19" s="5" t="n"/>
      <c r="C19" s="5" t="n"/>
      <c r="D19" s="5">
        <f>IF(OR(B19="",C19=""),"",IF(AND(B19&gt;=0.5,C19&gt;=0.5),"①优质用户（自然激活，勿扰）",IF(AND(B19&lt;0.5,C19&gt;=0.5),"②摇摆用户（营销敏感，加投）",IF(AND(B19&gt;=0.5,C19&lt;0.5),"④睡眠用户（对营销反感，停止打扰）","③无动于衷（获客资源降级）"))))</f>
        <v/>
      </c>
      <c r="E19" s="5" t="n"/>
      <c r="F19" s="5" t="n"/>
      <c r="G19" s="5" t="n"/>
      <c r="H19" s="5" t="n"/>
    </row>
    <row r="20">
      <c r="A20" s="5" t="n"/>
      <c r="B20" s="5" t="n"/>
      <c r="C20" s="5" t="n"/>
      <c r="D20" s="5">
        <f>IF(OR(B20="",C20=""),"",IF(AND(B20&gt;=0.5,C20&gt;=0.5),"①优质用户（自然激活，勿扰）",IF(AND(B20&lt;0.5,C20&gt;=0.5),"②摇摆用户（营销敏感，加投）",IF(AND(B20&gt;=0.5,C20&lt;0.5),"④睡眠用户（对营销反感，停止打扰）","③无动于衷（获客资源降级）"))))</f>
        <v/>
      </c>
      <c r="E20" s="5" t="n"/>
      <c r="F20" s="5" t="n"/>
      <c r="G20" s="5" t="n"/>
      <c r="H20" s="5" t="n"/>
    </row>
    <row r="21">
      <c r="A21" s="5" t="n"/>
      <c r="B21" s="5" t="n"/>
      <c r="C21" s="5" t="n"/>
      <c r="D21" s="5">
        <f>IF(OR(B21="",C21=""),"",IF(AND(B21&gt;=0.5,C21&gt;=0.5),"①优质用户（自然激活，勿扰）",IF(AND(B21&lt;0.5,C21&gt;=0.5),"②摇摆用户（营销敏感，加投）",IF(AND(B21&gt;=0.5,C21&lt;0.5),"④睡眠用户（对营销反感，停止打扰）","③无动于衷（获客资源降级）"))))</f>
        <v/>
      </c>
      <c r="E21" s="5" t="n"/>
      <c r="F21" s="5" t="n"/>
      <c r="G21" s="5" t="n"/>
      <c r="H21" s="5" t="n"/>
    </row>
    <row r="22">
      <c r="A22" s="5" t="n"/>
      <c r="B22" s="5" t="n"/>
      <c r="C22" s="5" t="n"/>
      <c r="D22" s="5">
        <f>IF(OR(B22="",C22=""),"",IF(AND(B22&gt;=0.5,C22&gt;=0.5),"①优质用户（自然激活，勿扰）",IF(AND(B22&lt;0.5,C22&gt;=0.5),"②摇摆用户（营销敏感，加投）",IF(AND(B22&gt;=0.5,C22&lt;0.5),"④睡眠用户（对营销反感，停止打扰）","③无动于衷（获客资源降级）"))))</f>
        <v/>
      </c>
      <c r="E22" s="5" t="n"/>
      <c r="F22" s="5" t="n"/>
      <c r="G22" s="5" t="n"/>
      <c r="H22" s="5" t="n"/>
    </row>
    <row r="23">
      <c r="A23" s="5" t="n"/>
      <c r="B23" s="5" t="n"/>
      <c r="C23" s="5" t="n"/>
      <c r="D23" s="5">
        <f>IF(OR(B23="",C23=""),"",IF(AND(B23&gt;=0.5,C23&gt;=0.5),"①优质用户（自然激活，勿扰）",IF(AND(B23&lt;0.5,C23&gt;=0.5),"②摇摆用户（营销敏感，加投）",IF(AND(B23&gt;=0.5,C23&lt;0.5),"④睡眠用户（对营销反感，停止打扰）","③无动于衷（获客资源降级）"))))</f>
        <v/>
      </c>
      <c r="E23" s="5" t="n"/>
      <c r="F23" s="5" t="n"/>
      <c r="G23" s="5" t="n"/>
      <c r="H23" s="5" t="n"/>
    </row>
    <row r="24">
      <c r="A24" s="5" t="n"/>
      <c r="B24" s="5" t="n"/>
      <c r="C24" s="5" t="n"/>
      <c r="D24" s="5">
        <f>IF(OR(B24="",C24=""),"",IF(AND(B24&gt;=0.5,C24&gt;=0.5),"①优质用户（自然激活，勿扰）",IF(AND(B24&lt;0.5,C24&gt;=0.5),"②摇摆用户（营销敏感，加投）",IF(AND(B24&gt;=0.5,C24&lt;0.5),"④睡眠用户（对营销反感，停止打扰）","③无动于衷（获客资源降级）"))))</f>
        <v/>
      </c>
      <c r="E24" s="5" t="n"/>
      <c r="F24" s="5" t="n"/>
      <c r="G24" s="5" t="n"/>
      <c r="H24" s="5" t="n"/>
    </row>
    <row r="25">
      <c r="A25" s="5" t="n"/>
      <c r="B25" s="5" t="n"/>
      <c r="C25" s="5" t="n"/>
      <c r="D25" s="5">
        <f>IF(OR(B25="",C25=""),"",IF(AND(B25&gt;=0.5,C25&gt;=0.5),"①优质用户（自然激活，勿扰）",IF(AND(B25&lt;0.5,C25&gt;=0.5),"②摇摆用户（营销敏感，加投）",IF(AND(B25&gt;=0.5,C25&lt;0.5),"④睡眠用户（对营销反感，停止打扰）","③无动于衷（获客资源降级）"))))</f>
        <v/>
      </c>
      <c r="E25" s="5" t="n"/>
      <c r="F25" s="5" t="n"/>
      <c r="G25" s="5" t="n"/>
      <c r="H25" s="5" t="n"/>
    </row>
    <row r="26">
      <c r="A26" s="5" t="n"/>
      <c r="B26" s="5" t="n"/>
      <c r="C26" s="5" t="n"/>
      <c r="D26" s="5">
        <f>IF(OR(B26="",C26=""),"",IF(AND(B26&gt;=0.5,C26&gt;=0.5),"①优质用户（自然激活，勿扰）",IF(AND(B26&lt;0.5,C26&gt;=0.5),"②摇摆用户（营销敏感，加投）",IF(AND(B26&gt;=0.5,C26&lt;0.5),"④睡眠用户（对营销反感，停止打扰）","③无动于衷（获客资源降级）"))))</f>
        <v/>
      </c>
      <c r="E26" s="5" t="n"/>
      <c r="F26" s="5" t="n"/>
      <c r="G26" s="5" t="n"/>
      <c r="H26" s="5" t="n"/>
    </row>
    <row r="27">
      <c r="A27" s="5" t="n"/>
      <c r="B27" s="5" t="n"/>
      <c r="C27" s="5" t="n"/>
      <c r="D27" s="5">
        <f>IF(OR(B27="",C27=""),"",IF(AND(B27&gt;=0.5,C27&gt;=0.5),"①优质用户（自然激活，勿扰）",IF(AND(B27&lt;0.5,C27&gt;=0.5),"②摇摆用户（营销敏感，加投）",IF(AND(B27&gt;=0.5,C27&lt;0.5),"④睡眠用户（对营销反感，停止打扰）","③无动于衷（获客资源降级）"))))</f>
        <v/>
      </c>
      <c r="E27" s="5" t="n"/>
      <c r="F27" s="5" t="n"/>
      <c r="G27" s="5" t="n"/>
      <c r="H27" s="5" t="n"/>
    </row>
    <row r="28">
      <c r="A28" s="5" t="n"/>
      <c r="B28" s="5" t="n"/>
      <c r="C28" s="5" t="n"/>
      <c r="D28" s="5">
        <f>IF(OR(B28="",C28=""),"",IF(AND(B28&gt;=0.5,C28&gt;=0.5),"①优质用户（自然激活，勿扰）",IF(AND(B28&lt;0.5,C28&gt;=0.5),"②摇摆用户（营销敏感，加投）",IF(AND(B28&gt;=0.5,C28&lt;0.5),"④睡眠用户（对营销反感，停止打扰）","③无动于衷（获客资源降级）"))))</f>
        <v/>
      </c>
      <c r="E28" s="5" t="n"/>
      <c r="F28" s="5" t="n"/>
      <c r="G28" s="5" t="n"/>
      <c r="H28" s="5" t="n"/>
    </row>
    <row r="29">
      <c r="A29" s="5" t="n"/>
      <c r="B29" s="5" t="n"/>
      <c r="C29" s="5" t="n"/>
      <c r="D29" s="5">
        <f>IF(OR(B29="",C29=""),"",IF(AND(B29&gt;=0.5,C29&gt;=0.5),"①优质用户（自然激活，勿扰）",IF(AND(B29&lt;0.5,C29&gt;=0.5),"②摇摆用户（营销敏感，加投）",IF(AND(B29&gt;=0.5,C29&lt;0.5),"④睡眠用户（对营销反感，停止打扰）","③无动于衷（获客资源降级）"))))</f>
        <v/>
      </c>
      <c r="E29" s="5" t="n"/>
      <c r="F29" s="5" t="n"/>
      <c r="G29" s="5" t="n"/>
      <c r="H29" s="5" t="n"/>
    </row>
    <row r="31">
      <c r="A31" s="13" t="inlineStr">
        <is>
          <t>四象限规则（A17-01）：①优质用户—无论是否营销都自然激活，尽量不做促激活营销（降成本、降打扰）；②摇摆用户—有营销才激活，投入更多营销资源；③无动于衷—获客资源降级；④睡眠用户—对营销反感，停止打扰。象限判定阈值 0.5 仅为占位，本行须用模型分数分布重定。</t>
        </is>
      </c>
    </row>
  </sheetData>
  <mergeCells count="4">
    <mergeCell ref="A31:H31"/>
    <mergeCell ref="A3:H3"/>
    <mergeCell ref="A2:H2"/>
    <mergeCell ref="A1:H1"/>
  </mergeCells>
  <dataValidations count="2">
    <dataValidation sqref="E5:E29" showDropDown="0" showInputMessage="0" showErrorMessage="0" allowBlank="1" errorTitle="策略" error="请从下拉列表中选择" type="list">
      <formula1>"加投（强坐席/提前介入）,维持观察,降级（减少获客投放）,停止打扰"</formula1>
    </dataValidation>
    <dataValidation sqref="F5:F29" showDropDown="0" showInputMessage="0" showErrorMessage="0" allowBlank="1" errorTitle="合规确认" error="请从下拉列表中选择" type="list">
      <formula1>"是,否"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40" customWidth="1" min="3" max="3"/>
    <col width="30" customWidth="1" min="4" max="4"/>
    <col width="30" customWidth="1" min="5" max="5"/>
    <col width="14" customWidth="1" min="6" max="6"/>
    <col width="22" customWidth="1" min="7" max="7"/>
  </cols>
  <sheetData>
    <row r="1" ht="26" customHeight="1">
      <c r="A1" s="1" t="inlineStr">
        <is>
          <t>催收三段降损目标表（入催→逾期→不良）</t>
        </is>
      </c>
    </row>
    <row r="2" ht="30" customHeight="1">
      <c r="A2" s="2" t="inlineStr">
        <is>
          <t>方法出处：B-02-01《2024年5月复盘》幻灯片 10、11、12。</t>
        </is>
      </c>
    </row>
    <row r="3" ht="34" customHeight="1">
      <c r="A3" s="3" t="inlineStr">
        <is>
          <t>边界提醒：B-02-01 边界：协商还款政策放宽会形成「再逾期」（前期协商还款再逾期金额已超过首次进入不良金额），必须配套再逾期监测与回收上限，否则是把风险后移。</t>
        </is>
      </c>
    </row>
    <row r="4" ht="30" customHeight="1">
      <c r="A4" s="4" t="inlineStr">
        <is>
          <t>催收段位</t>
        </is>
      </c>
      <c r="B4" s="4" t="inlineStr">
        <is>
          <t>降损目标（金额）</t>
        </is>
      </c>
      <c r="C4" s="4" t="inlineStr">
        <is>
          <t>手段</t>
        </is>
      </c>
      <c r="D4" s="4" t="inlineStr">
        <is>
          <t>测算（变化率×剩余月份）</t>
        </is>
      </c>
      <c r="E4" s="4" t="inlineStr">
        <is>
          <t>再逾期监测口径</t>
        </is>
      </c>
      <c r="F4" s="4" t="inlineStr">
        <is>
          <t>回收上限</t>
        </is>
      </c>
      <c r="G4" s="4" t="inlineStr">
        <is>
          <t>备注</t>
        </is>
      </c>
    </row>
    <row r="5">
      <c r="A5" s="9" t="inlineStr">
        <is>
          <t>入催管理（历史样本示例，须按本行数据重算）</t>
        </is>
      </c>
      <c r="B5" s="9" t="inlineStr">
        <is>
          <t>降低进入逾期金额 1.6 亿元</t>
        </is>
      </c>
      <c r="C5" s="9" t="inlineStr">
        <is>
          <t>优化模型策略、M0 主动感知触达、智能外呼/人工回访/短信精细化</t>
        </is>
      </c>
      <c r="D5" s="9" t="inlineStr">
        <is>
          <t>月均入催额 5.7 亿降 0.2 亿 × 剩余 8 个月 = 1.6 亿</t>
        </is>
      </c>
      <c r="E5" s="9" t="inlineStr">
        <is>
          <t>（填本行口径）</t>
        </is>
      </c>
      <c r="F5" s="9" t="inlineStr">
        <is>
          <t>（填本行上限）</t>
        </is>
      </c>
      <c r="G5" s="10" t="inlineStr">
        <is>
          <t>历史样本示例，须按本行数据重算</t>
        </is>
      </c>
    </row>
    <row r="6">
      <c r="A6" s="9" t="inlineStr">
        <is>
          <t>逾期催收（历史样本示例）</t>
        </is>
      </c>
      <c r="B6" s="9" t="inlineStr">
        <is>
          <t>降低进入不良金额 1.6 亿元</t>
        </is>
      </c>
      <c r="C6" s="9" t="inlineStr">
        <is>
          <t>提高自催、协商还款政策放宽（本金分期）、分行属地化催收（高风险地区上门）</t>
        </is>
      </c>
      <c r="D6" s="9" t="inlineStr">
        <is>
          <t>月均回款 3.14 亿提 0.2 亿 × 8 个月 = 1.6 亿</t>
        </is>
      </c>
      <c r="E6" s="9" t="inlineStr">
        <is>
          <t>（填本行口径）</t>
        </is>
      </c>
      <c r="F6" s="9" t="inlineStr">
        <is>
          <t>（填本行上限）</t>
        </is>
      </c>
      <c r="G6" s="10" t="inlineStr">
        <is>
          <t>历史样本示例，须按本行数据重算</t>
        </is>
      </c>
    </row>
    <row r="7">
      <c r="A7" s="9" t="inlineStr">
        <is>
          <t>不良催收（历史样本示例）</t>
        </is>
      </c>
      <c r="B7" s="9" t="inlineStr">
        <is>
          <t>降低核销处置金额 0.93 亿元</t>
        </is>
      </c>
      <c r="C7" s="9" t="inlineStr">
        <is>
          <t>扩大诉调规模、丰富信息修复与资产信息采集；诉调/非诉调份额 25/75 → 75/25</t>
        </is>
      </c>
      <c r="D7" s="9" t="inlineStr">
        <is>
          <t>诉调回款 2,330 万提至 2.8 亿</t>
        </is>
      </c>
      <c r="E7" s="9" t="inlineStr">
        <is>
          <t>（填本行口径）</t>
        </is>
      </c>
      <c r="F7" s="9" t="inlineStr">
        <is>
          <t>（填本行上限）</t>
        </is>
      </c>
      <c r="G7" s="10" t="inlineStr">
        <is>
          <t>历史样本示例，须按本行数据重算</t>
        </is>
      </c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n"/>
      <c r="B9" s="5" t="n"/>
      <c r="C9" s="5" t="n"/>
      <c r="D9" s="5" t="n"/>
      <c r="E9" s="5" t="n"/>
      <c r="F9" s="5" t="n"/>
      <c r="G9" s="5" t="n"/>
    </row>
    <row r="10">
      <c r="A10" s="5" t="n"/>
      <c r="B10" s="5" t="n"/>
      <c r="C10" s="5" t="n"/>
      <c r="D10" s="5" t="n"/>
      <c r="E10" s="5" t="n"/>
      <c r="F10" s="5" t="n"/>
      <c r="G10" s="5" t="n"/>
    </row>
    <row r="12">
      <c r="A12" s="13" t="inlineStr">
        <is>
          <t>方法：用「变化率×剩余月份」把年度大目标拆成月度增降幅；目标层层串联（历史样本：22.22 亿 → 18.09 亿 → 15.09 亿）。协商还款放宽必须同时设再逾期监测与回收上限（bank-09 建议 2）。</t>
        </is>
      </c>
    </row>
  </sheetData>
  <mergeCells count="4">
    <mergeCell ref="A3:G3"/>
    <mergeCell ref="A2:G2"/>
    <mergeCell ref="A1:G1"/>
    <mergeCell ref="A12:G12"/>
  </mergeCells>
  <dataValidations count="1">
    <dataValidation sqref="A5:A10" showDropDown="0" showInputMessage="0" showErrorMessage="0" allowBlank="1" errorTitle="催收段位" error="请从下拉列表中选择" type="list">
      <formula1>"入催管理,逾期催收,不良催收"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2" customWidth="1" min="3" max="3"/>
    <col width="26" customWidth="1" min="4" max="4"/>
    <col width="26" customWidth="1" min="5" max="5"/>
    <col width="30" customWidth="1" min="6" max="6"/>
    <col width="28" customWidth="1" min="7" max="7"/>
  </cols>
  <sheetData>
    <row r="1" ht="26" customHeight="1">
      <c r="A1" s="1" t="inlineStr">
        <is>
          <t>口径对照表（任何比较先过此表）</t>
        </is>
      </c>
    </row>
    <row r="2" ht="30" customHeight="1">
      <c r="A2" s="2" t="inlineStr">
        <is>
          <t>方法出处：B-05-12 天风证券 B05 PDF页码 6–9（收入结构解构＋口径还原）；B-05-15 同材料 PDF页码 12–17（人均指标分母修正）。</t>
        </is>
      </c>
    </row>
    <row r="3" ht="34" customHeight="1">
      <c r="A3" s="3" t="inlineStr">
        <is>
          <t>边界提醒：B-05-12 边界：不做科目-实质映射直接比「利息收入占比」，会把同一经济实质算成两类收入、结论反向；口径切换年份前后不可比（历史样本：招行 2015 断点）。B-05-15 边界：分母选择直接决定结论量级，换分母必须明示，否则同一事实可得出「渗透率极低」或「接近饱和」两种结论。</t>
        </is>
      </c>
    </row>
    <row r="4" ht="30" customHeight="1">
      <c r="A4" s="4" t="inlineStr">
        <is>
          <t>指标名</t>
        </is>
      </c>
      <c r="B4" s="4" t="inlineStr">
        <is>
          <t>会计科目</t>
        </is>
      </c>
      <c r="C4" s="4" t="inlineStr">
        <is>
          <t>经济实质</t>
        </is>
      </c>
      <c r="D4" s="4" t="inlineStr">
        <is>
          <t>本行口径</t>
        </is>
      </c>
      <c r="E4" s="4" t="inlineStr">
        <is>
          <t>外部口径</t>
        </is>
      </c>
      <c r="F4" s="4" t="inlineStr">
        <is>
          <t>差异说明</t>
        </is>
      </c>
      <c r="G4" s="4" t="inlineStr">
        <is>
          <t>分母口径（必填）</t>
        </is>
      </c>
    </row>
    <row r="5">
      <c r="A5" s="9" t="inlineStr">
        <is>
          <t>分期手续费收入占比（历史样本示例，须按本行数据重算）</t>
        </is>
      </c>
      <c r="B5" s="9" t="inlineStr">
        <is>
          <t>中间业务收入（手续费）</t>
        </is>
      </c>
      <c r="C5" s="9" t="inlineStr">
        <is>
          <t>利息收入（分期手续费实质是利息）</t>
        </is>
      </c>
      <c r="D5" s="9" t="inlineStr">
        <is>
          <t>（填本行报表科目）</t>
        </is>
      </c>
      <c r="E5" s="9" t="inlineStr">
        <is>
          <t>1H16 银联数据客户银行：分期手续费 28%，还原后实际利息收入占比约 70%</t>
        </is>
      </c>
      <c r="F5" s="9" t="inlineStr">
        <is>
          <t>科目归类不同导致占比差异；还原后才可与美国主要银行对照</t>
        </is>
      </c>
      <c r="G5" s="10" t="inlineStr">
        <is>
          <t>历史样本示例，须按本行数据重算</t>
        </is>
      </c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n"/>
      <c r="B9" s="5" t="n"/>
      <c r="C9" s="5" t="n"/>
      <c r="D9" s="5" t="n"/>
      <c r="E9" s="5" t="n"/>
      <c r="F9" s="5" t="n"/>
      <c r="G9" s="5" t="n"/>
    </row>
    <row r="10">
      <c r="A10" s="5" t="n"/>
      <c r="B10" s="5" t="n"/>
      <c r="C10" s="5" t="n"/>
      <c r="D10" s="5" t="n"/>
      <c r="E10" s="5" t="n"/>
      <c r="F10" s="5" t="n"/>
      <c r="G10" s="5" t="n"/>
    </row>
    <row r="11">
      <c r="A11" s="5" t="n"/>
      <c r="B11" s="5" t="n"/>
      <c r="C11" s="5" t="n"/>
      <c r="D11" s="5" t="n"/>
      <c r="E11" s="5" t="n"/>
      <c r="F11" s="5" t="n"/>
      <c r="G11" s="5" t="n"/>
    </row>
    <row r="12">
      <c r="A12" s="5" t="n"/>
      <c r="B12" s="5" t="n"/>
      <c r="C12" s="5" t="n"/>
      <c r="D12" s="5" t="n"/>
      <c r="E12" s="5" t="n"/>
      <c r="F12" s="5" t="n"/>
      <c r="G12" s="5" t="n"/>
    </row>
    <row r="13">
      <c r="A13" s="5" t="n"/>
      <c r="B13" s="5" t="n"/>
      <c r="C13" s="5" t="n"/>
      <c r="D13" s="5" t="n"/>
      <c r="E13" s="5" t="n"/>
      <c r="F13" s="5" t="n"/>
      <c r="G13" s="5" t="n"/>
    </row>
    <row r="14">
      <c r="A14" s="5" t="n"/>
      <c r="B14" s="5" t="n"/>
      <c r="C14" s="5" t="n"/>
      <c r="D14" s="5" t="n"/>
      <c r="E14" s="5" t="n"/>
      <c r="F14" s="5" t="n"/>
      <c r="G14" s="5" t="n"/>
    </row>
    <row r="15">
      <c r="A15" s="5" t="n"/>
      <c r="B15" s="5" t="n"/>
      <c r="C15" s="5" t="n"/>
      <c r="D15" s="5" t="n"/>
      <c r="E15" s="5" t="n"/>
      <c r="F15" s="5" t="n"/>
      <c r="G15" s="5" t="n"/>
    </row>
    <row r="16">
      <c r="A16" s="5" t="n"/>
      <c r="B16" s="5" t="n"/>
      <c r="C16" s="5" t="n"/>
      <c r="D16" s="5" t="n"/>
      <c r="E16" s="5" t="n"/>
      <c r="F16" s="5" t="n"/>
      <c r="G16" s="5" t="n"/>
    </row>
    <row r="17">
      <c r="A17" s="5" t="n"/>
      <c r="B17" s="5" t="n"/>
      <c r="C17" s="5" t="n"/>
      <c r="D17" s="5" t="n"/>
      <c r="E17" s="5" t="n"/>
      <c r="F17" s="5" t="n"/>
      <c r="G17" s="5" t="n"/>
    </row>
    <row r="18">
      <c r="A18" s="5" t="n"/>
      <c r="B18" s="5" t="n"/>
      <c r="C18" s="5" t="n"/>
      <c r="D18" s="5" t="n"/>
      <c r="E18" s="5" t="n"/>
      <c r="F18" s="5" t="n"/>
      <c r="G18" s="5" t="n"/>
    </row>
    <row r="19">
      <c r="A19" s="5" t="n"/>
      <c r="B19" s="5" t="n"/>
      <c r="C19" s="5" t="n"/>
      <c r="D19" s="5" t="n"/>
      <c r="E19" s="5" t="n"/>
      <c r="F19" s="5" t="n"/>
      <c r="G19" s="5" t="n"/>
    </row>
    <row r="20">
      <c r="A20" s="5" t="n"/>
      <c r="B20" s="5" t="n"/>
      <c r="C20" s="5" t="n"/>
      <c r="D20" s="5" t="n"/>
      <c r="E20" s="5" t="n"/>
      <c r="F20" s="5" t="n"/>
      <c r="G20" s="5" t="n"/>
    </row>
    <row r="21">
      <c r="A21" s="5" t="n"/>
      <c r="B21" s="5" t="n"/>
      <c r="C21" s="5" t="n"/>
      <c r="D21" s="5" t="n"/>
      <c r="E21" s="5" t="n"/>
      <c r="F21" s="5" t="n"/>
      <c r="G21" s="5" t="n"/>
    </row>
    <row r="22">
      <c r="A22" s="5" t="n"/>
      <c r="B22" s="5" t="n"/>
      <c r="C22" s="5" t="n"/>
      <c r="D22" s="5" t="n"/>
      <c r="E22" s="5" t="n"/>
      <c r="F22" s="5" t="n"/>
      <c r="G22" s="5" t="n"/>
    </row>
    <row r="23">
      <c r="A23" s="5" t="n"/>
      <c r="B23" s="5" t="n"/>
      <c r="C23" s="5" t="n"/>
      <c r="D23" s="5" t="n"/>
      <c r="E23" s="5" t="n"/>
      <c r="F23" s="5" t="n"/>
      <c r="G23" s="5" t="n"/>
    </row>
    <row r="24">
      <c r="A24" s="5" t="n"/>
      <c r="B24" s="5" t="n"/>
      <c r="C24" s="5" t="n"/>
      <c r="D24" s="5" t="n"/>
      <c r="E24" s="5" t="n"/>
      <c r="F24" s="5" t="n"/>
      <c r="G24" s="5" t="n"/>
    </row>
    <row r="26">
      <c r="A26" s="13" t="inlineStr">
        <is>
          <t>三步法（B-05-12）：① 建「会计科目↔经济实质」映射表（显性/隐性收入分列）→ ② 在披露口径上做还原调整 → ③ 用还原后口径对标。另注意：分期＝利息；发卡量≠流通卡≠流通户≠活卡；实动卡均交易无公开定义。跨行比较前必须统一机构范围与科目口径。</t>
        </is>
      </c>
    </row>
  </sheetData>
  <mergeCells count="4">
    <mergeCell ref="A26:G26"/>
    <mergeCell ref="A3:G3"/>
    <mergeCell ref="A2:G2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3" customWidth="1" min="3" max="3"/>
    <col width="11" customWidth="1" min="4" max="4"/>
    <col width="15" customWidth="1" min="5" max="5"/>
    <col width="15" customWidth="1" min="6" max="6"/>
    <col width="15" customWidth="1" min="7" max="7"/>
    <col width="13" customWidth="1" min="8" max="8"/>
    <col width="14" customWidth="1" min="9" max="9"/>
    <col width="14" customWidth="1" min="10" max="10"/>
    <col width="24" customWidth="1" min="11" max="11"/>
  </cols>
  <sheetData>
    <row r="1" ht="26" customHeight="1">
      <c r="A1" s="1" t="inlineStr">
        <is>
          <t>阈值验算表（名义费率 → 实际年化 IRR）</t>
        </is>
      </c>
    </row>
    <row r="2" ht="30" customHeight="1">
      <c r="A2" s="2" t="inlineStr">
        <is>
          <t>方法出处：B-05-13 天风证券 B05 PDF页码 9（「分期收入，筑梦新蓝海」节）。</t>
        </is>
      </c>
    </row>
    <row r="3" ht="34" customHeight="1">
      <c r="A3" s="3" t="inlineStr">
        <is>
          <t>边界提醒：B-05-13 边界：一次性还本付息或先息后本产品不适用同一公式；含服务费/权益费须全部计入现金流否则低估；该测算给出的是产品定价口径，不能直接等同于客户实际承担的综合年化成本（还需计入逾期费用等）。14.26% 为历史样本，本行须重算。</t>
        </is>
      </c>
    </row>
    <row r="4" ht="30" customHeight="1">
      <c r="A4" s="4" t="inlineStr">
        <is>
          <t>行次</t>
        </is>
      </c>
      <c r="B4" s="4" t="inlineStr">
        <is>
          <t>本金（元）</t>
        </is>
      </c>
      <c r="C4" s="4" t="inlineStr">
        <is>
          <t>月费率（名义）</t>
        </is>
      </c>
      <c r="D4" s="4" t="inlineStr">
        <is>
          <t>期数（月）</t>
        </is>
      </c>
      <c r="E4" s="4" t="inlineStr">
        <is>
          <t>每期还款额（公式）</t>
        </is>
      </c>
      <c r="F4" s="4" t="inlineStr">
        <is>
          <t>每期手续费（公式）</t>
        </is>
      </c>
      <c r="G4" s="4" t="inlineStr">
        <is>
          <t>实际年化 IRR（公式）</t>
        </is>
      </c>
      <c r="H4" s="4" t="inlineStr">
        <is>
          <t>名义年化（公式）</t>
        </is>
      </c>
      <c r="I4" s="4" t="inlineStr">
        <is>
          <t>差额（实际−名义）</t>
        </is>
      </c>
      <c r="J4" s="4" t="inlineStr">
        <is>
          <t>安全边际取值</t>
        </is>
      </c>
      <c r="K4" s="4" t="inlineStr">
        <is>
          <t>备注</t>
        </is>
      </c>
    </row>
    <row r="5">
      <c r="A5" s="5" t="n">
        <v>1</v>
      </c>
      <c r="B5" s="9" t="inlineStr">
        <is>
          <t>示例</t>
        </is>
      </c>
      <c r="C5" s="11" t="n">
        <v>6000</v>
      </c>
      <c r="D5" s="9" t="n">
        <v>0.007</v>
      </c>
      <c r="E5" s="9">
        <f>IF(OR(B5="",D5=""),"",B5/D5+B5*C5)</f>
        <v/>
      </c>
      <c r="F5" s="5">
        <f>IF(B5="","",B5*C5)</f>
        <v/>
      </c>
      <c r="G5" s="12">
        <f>IF(OR(B5="",E5=""),"",IFERROR((RATE(D5,E5,-B5)*12),"需检查输入"))</f>
        <v/>
      </c>
      <c r="H5" s="12">
        <f>IF(C5="","",C5*12)</f>
        <v/>
      </c>
      <c r="I5" s="12">
        <f>IF(OR(G5="",H5=""),"",G5-H5)</f>
        <v/>
      </c>
      <c r="J5" s="14" t="inlineStr">
        <is>
          <t>（填写本行要求的安全边际档位）</t>
        </is>
      </c>
      <c r="K5" s="15" t="inlineStr">
        <is>
          <t>历史样本示例，须按本行数据重算</t>
        </is>
      </c>
    </row>
    <row r="6">
      <c r="A6" s="5" t="n">
        <v>2</v>
      </c>
      <c r="B6" s="5" t="n"/>
      <c r="C6" s="12" t="n"/>
      <c r="D6" s="5" t="n"/>
      <c r="E6" s="5">
        <f>IF(OR(B6="",D6=""),"",B6/D6+B6*C6)</f>
        <v/>
      </c>
      <c r="F6" s="5">
        <f>IF(B6="","",B6*C6)</f>
        <v/>
      </c>
      <c r="G6" s="12">
        <f>IF(OR(B6="",E6=""),"",IFERROR((RATE(D6,E6,-B6)*12),"需检查输入"))</f>
        <v/>
      </c>
      <c r="H6" s="12">
        <f>IF(C6="","",C6*12)</f>
        <v/>
      </c>
      <c r="I6" s="12">
        <f>IF(OR(G6="",H6=""),"",G6-H6)</f>
        <v/>
      </c>
      <c r="J6" s="14" t="inlineStr">
        <is>
          <t>（填写本行要求的安全边际档位）</t>
        </is>
      </c>
      <c r="K6" s="5" t="n"/>
    </row>
    <row r="7">
      <c r="A7" s="5" t="n">
        <v>3</v>
      </c>
      <c r="B7" s="5" t="n"/>
      <c r="C7" s="12" t="n"/>
      <c r="D7" s="5" t="n"/>
      <c r="E7" s="5">
        <f>IF(OR(B7="",D7=""),"",B7/D7+B7*C7)</f>
        <v/>
      </c>
      <c r="F7" s="5">
        <f>IF(B7="","",B7*C7)</f>
        <v/>
      </c>
      <c r="G7" s="12">
        <f>IF(OR(B7="",E7=""),"",IFERROR((RATE(D7,E7,-B7)*12),"需检查输入"))</f>
        <v/>
      </c>
      <c r="H7" s="12">
        <f>IF(C7="","",C7*12)</f>
        <v/>
      </c>
      <c r="I7" s="12">
        <f>IF(OR(G7="",H7=""),"",G7-H7)</f>
        <v/>
      </c>
      <c r="J7" s="14" t="inlineStr">
        <is>
          <t>（填写本行要求的安全边际档位）</t>
        </is>
      </c>
      <c r="K7" s="5" t="n"/>
    </row>
    <row r="8">
      <c r="A8" s="5" t="n">
        <v>4</v>
      </c>
      <c r="B8" s="5" t="n"/>
      <c r="C8" s="12" t="n"/>
      <c r="D8" s="5" t="n"/>
      <c r="E8" s="5">
        <f>IF(OR(B8="",D8=""),"",B8/D8+B8*C8)</f>
        <v/>
      </c>
      <c r="F8" s="5">
        <f>IF(B8="","",B8*C8)</f>
        <v/>
      </c>
      <c r="G8" s="12">
        <f>IF(OR(B8="",E8=""),"",IFERROR((RATE(D8,E8,-B8)*12),"需检查输入"))</f>
        <v/>
      </c>
      <c r="H8" s="12">
        <f>IF(C8="","",C8*12)</f>
        <v/>
      </c>
      <c r="I8" s="12">
        <f>IF(OR(G8="",H8=""),"",G8-H8)</f>
        <v/>
      </c>
      <c r="J8" s="14" t="inlineStr">
        <is>
          <t>（填写本行要求的安全边际档位）</t>
        </is>
      </c>
      <c r="K8" s="5" t="n"/>
    </row>
    <row r="9">
      <c r="A9" s="5" t="n">
        <v>5</v>
      </c>
      <c r="B9" s="5" t="n"/>
      <c r="C9" s="12" t="n"/>
      <c r="D9" s="5" t="n"/>
      <c r="E9" s="5">
        <f>IF(OR(B9="",D9=""),"",B9/D9+B9*C9)</f>
        <v/>
      </c>
      <c r="F9" s="5">
        <f>IF(B9="","",B9*C9)</f>
        <v/>
      </c>
      <c r="G9" s="12">
        <f>IF(OR(B9="",E9=""),"",IFERROR((RATE(D9,E9,-B9)*12),"需检查输入"))</f>
        <v/>
      </c>
      <c r="H9" s="12">
        <f>IF(C9="","",C9*12)</f>
        <v/>
      </c>
      <c r="I9" s="12">
        <f>IF(OR(G9="",H9=""),"",G9-H9)</f>
        <v/>
      </c>
      <c r="J9" s="14" t="inlineStr">
        <is>
          <t>（填写本行要求的安全边际档位）</t>
        </is>
      </c>
      <c r="K9" s="5" t="n"/>
    </row>
    <row r="10">
      <c r="A10" s="5" t="n">
        <v>6</v>
      </c>
      <c r="B10" s="5" t="n"/>
      <c r="C10" s="12" t="n"/>
      <c r="D10" s="5" t="n"/>
      <c r="E10" s="5">
        <f>IF(OR(B10="",D10=""),"",B10/D10+B10*C10)</f>
        <v/>
      </c>
      <c r="F10" s="5">
        <f>IF(B10="","",B10*C10)</f>
        <v/>
      </c>
      <c r="G10" s="12">
        <f>IF(OR(B10="",E10=""),"",IFERROR((RATE(D10,E10,-B10)*12),"需检查输入"))</f>
        <v/>
      </c>
      <c r="H10" s="12">
        <f>IF(C10="","",C10*12)</f>
        <v/>
      </c>
      <c r="I10" s="12">
        <f>IF(OR(G10="",H10=""),"",G10-H10)</f>
        <v/>
      </c>
      <c r="J10" s="14" t="inlineStr">
        <is>
          <t>（填写本行要求的安全边际档位）</t>
        </is>
      </c>
      <c r="K10" s="5" t="n"/>
    </row>
    <row r="11">
      <c r="A11" s="5" t="n">
        <v>7</v>
      </c>
      <c r="B11" s="5" t="n"/>
      <c r="C11" s="12" t="n"/>
      <c r="D11" s="5" t="n"/>
      <c r="E11" s="5">
        <f>IF(OR(B11="",D11=""),"",B11/D11+B11*C11)</f>
        <v/>
      </c>
      <c r="F11" s="5">
        <f>IF(B11="","",B11*C11)</f>
        <v/>
      </c>
      <c r="G11" s="12">
        <f>IF(OR(B11="",E11=""),"",IFERROR((RATE(D11,E11,-B11)*12),"需检查输入"))</f>
        <v/>
      </c>
      <c r="H11" s="12">
        <f>IF(C11="","",C11*12)</f>
        <v/>
      </c>
      <c r="I11" s="12">
        <f>IF(OR(G11="",H11=""),"",G11-H11)</f>
        <v/>
      </c>
      <c r="J11" s="14" t="inlineStr">
        <is>
          <t>（填写本行要求的安全边际档位）</t>
        </is>
      </c>
      <c r="K11" s="5" t="n"/>
    </row>
    <row r="12">
      <c r="A12" s="5" t="n">
        <v>8</v>
      </c>
      <c r="B12" s="5" t="n"/>
      <c r="C12" s="12" t="n"/>
      <c r="D12" s="5" t="n"/>
      <c r="E12" s="5">
        <f>IF(OR(B12="",D12=""),"",B12/D12+B12*C12)</f>
        <v/>
      </c>
      <c r="F12" s="5">
        <f>IF(B12="","",B12*C12)</f>
        <v/>
      </c>
      <c r="G12" s="12">
        <f>IF(OR(B12="",E12=""),"",IFERROR((RATE(D12,E12,-B12)*12),"需检查输入"))</f>
        <v/>
      </c>
      <c r="H12" s="12">
        <f>IF(C12="","",C12*12)</f>
        <v/>
      </c>
      <c r="I12" s="12">
        <f>IF(OR(G12="",H12=""),"",G12-H12)</f>
        <v/>
      </c>
      <c r="J12" s="14" t="inlineStr">
        <is>
          <t>（填写本行要求的安全边际档位）</t>
        </is>
      </c>
      <c r="K12" s="5" t="n"/>
    </row>
    <row r="13">
      <c r="A13" s="5" t="n">
        <v>9</v>
      </c>
      <c r="B13" s="5" t="n"/>
      <c r="C13" s="12" t="n"/>
      <c r="D13" s="5" t="n"/>
      <c r="E13" s="5">
        <f>IF(OR(B13="",D13=""),"",B13/D13+B13*C13)</f>
        <v/>
      </c>
      <c r="F13" s="5">
        <f>IF(B13="","",B13*C13)</f>
        <v/>
      </c>
      <c r="G13" s="12">
        <f>IF(OR(B13="",E13=""),"",IFERROR((RATE(D13,E13,-B13)*12),"需检查输入"))</f>
        <v/>
      </c>
      <c r="H13" s="12">
        <f>IF(C13="","",C13*12)</f>
        <v/>
      </c>
      <c r="I13" s="12">
        <f>IF(OR(G13="",H13=""),"",G13-H13)</f>
        <v/>
      </c>
      <c r="J13" s="14" t="inlineStr">
        <is>
          <t>（填写本行要求的安全边际档位）</t>
        </is>
      </c>
      <c r="K13" s="5" t="n"/>
    </row>
    <row r="14">
      <c r="A14" s="5" t="n">
        <v>10</v>
      </c>
      <c r="B14" s="5" t="n"/>
      <c r="C14" s="12" t="n"/>
      <c r="D14" s="5" t="n"/>
      <c r="E14" s="5">
        <f>IF(OR(B14="",D14=""),"",B14/D14+B14*C14)</f>
        <v/>
      </c>
      <c r="F14" s="5">
        <f>IF(B14="","",B14*C14)</f>
        <v/>
      </c>
      <c r="G14" s="12">
        <f>IF(OR(B14="",E14=""),"",IFERROR((RATE(D14,E14,-B14)*12),"需检查输入"))</f>
        <v/>
      </c>
      <c r="H14" s="12">
        <f>IF(C14="","",C14*12)</f>
        <v/>
      </c>
      <c r="I14" s="12">
        <f>IF(OR(G14="",H14=""),"",G14-H14)</f>
        <v/>
      </c>
      <c r="J14" s="14" t="inlineStr">
        <is>
          <t>（填写本行要求的安全边际档位）</t>
        </is>
      </c>
      <c r="K14" s="5" t="n"/>
    </row>
    <row r="16">
      <c r="A16" s="13" t="inlineStr">
        <is>
          <t>方法（B-05-13）：名义「每期费率」按分期总额收取，但本金逐期偿还，故名义费率严重低估真实资金成本。四要素 pv/pmt/r/t，解出每期利率 r 后 ×12 得实际年化。历史样本：6000 元 / 0.7%/期 / 6 期 → 实际年化 14.26%（示例行公式应复算出同值，可作模板自检）。安全边际取值须按本行资金成本、风险成本重定，不得沿用历史经验值。</t>
        </is>
      </c>
    </row>
  </sheetData>
  <mergeCells count="4">
    <mergeCell ref="A2:K2"/>
    <mergeCell ref="A16:K16"/>
    <mergeCell ref="A1:K1"/>
    <mergeCell ref="A3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2026-09-16T06:18:34Z</dcterms:created>
  <dcterms:modified xmlns:dcterms="http://purl.org/dc/terms/" xmlns:xsi="http://www.w3.org/2001/XMLSchema-instance" xsi:type="dcterms:W3CDTF">2026-09-16T06:18:34Z</dcterms:modified>
</cp:coreProperties>
</file>