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趋势分析" sheetId="2" r:id="rId5"/>
    <sheet name="三年数据" sheetId="3" r:id="rId6"/>
    <sheet name="三年数据（副本2）" sheetId="4" r:id="rId7"/>
    <sheet name="三年数据（副本）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<sst xmlns="http://schemas.openxmlformats.org/spreadsheetml/2006/main" count="1" uniqueCount="1">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</sst>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#,##0"/>
    <numFmt numFmtId="165" formatCode="0.00%"/>
    <numFmt numFmtId="166" formatCode="#,##0.00"/>
    <numFmt numFmtId="167" formatCode="#,##0.00"/>
    <numFmt numFmtId="168" formatCode="#,##0.00"/>
    <numFmt numFmtId="169" formatCode="0.0000"/>
    <numFmt numFmtId="170" formatCode="0.00%"/>
    <numFmt numFmtId="171" formatCode="0.00%"/>
  </numFmts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112233"/>
      <name val="Calibri"/>
      <family val="2"/>
      <scheme val="minor"/>
    </font>
    <font>
      <b val="true"/>
      <sz val="10"/>
      <color rgb="FF112233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3CC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true" applyProtection="false" borderId="1" fillId="0" fontId="1" numFmtId="164" xfId="0">
      <alignment vertical="bottom"/>
    </xf>
    <xf applyAlignment="true" applyBorder="false" applyFill="false" applyFont="true" applyNumberFormat="true" applyProtection="false" borderId="2" fillId="0" fontId="1" numFmtId="165" xfId="0">
      <alignment vertical="bottom"/>
    </xf>
    <xf applyAlignment="true" applyBorder="false" applyFill="false" applyFont="true" applyNumberFormat="false" applyProtection="false" borderId="3" fillId="0" fontId="2" numFmtId="0" xfId="0">
      <alignment horizontal="center" vertical="bottom"/>
    </xf>
    <xf applyAlignment="true" applyBorder="false" applyFill="false" applyFont="true" applyNumberFormat="false" applyProtection="false" borderId="4" fillId="0" fontId="2" numFmtId="0" xfId="0">
      <alignment vertical="bottom"/>
    </xf>
    <xf applyAlignment="true" applyBorder="false" applyFill="false" applyFont="true" applyNumberFormat="false" applyProtection="false" borderId="5" fillId="0" fontId="1" numFmtId="0" xfId="0">
      <alignment vertical="bottom"/>
    </xf>
    <xf applyAlignment="true" applyBorder="false" applyFill="false" applyFont="true" applyNumberFormat="true" applyProtection="false" borderId="6" fillId="0" fontId="1" numFmtId="166" xfId="0">
      <alignment vertical="bottom"/>
    </xf>
    <xf applyAlignment="true" applyBorder="false" applyFill="false" applyFont="true" applyNumberFormat="true" applyProtection="false" borderId="7" fillId="0" fontId="3" numFmtId="167" xfId="0">
      <alignment vertical="bottom"/>
    </xf>
    <xf applyAlignment="true" applyBorder="false" applyFill="true" applyFont="true" applyNumberFormat="true" applyProtection="false" borderId="8" fillId="2" fontId="3" numFmtId="168" xfId="0">
      <alignment vertical="bottom"/>
    </xf>
    <xf applyAlignment="true" applyBorder="false" applyFill="false" applyFont="true" applyNumberFormat="true" applyProtection="false" borderId="9" fillId="0" fontId="1" numFmtId="169" xfId="0">
      <alignment vertical="bottom"/>
    </xf>
    <xf applyAlignment="true" applyBorder="false" applyFill="false" applyFont="true" applyNumberFormat="false" applyProtection="false" borderId="10" fillId="0" fontId="3" numFmtId="0" xfId="0">
      <alignment vertical="bottom"/>
    </xf>
    <xf applyAlignment="true" applyBorder="false" applyFill="false" applyFont="true" applyNumberFormat="false" applyProtection="false" borderId="11" fillId="0" fontId="4" numFmtId="0" xfId="0">
      <alignment vertical="bottom"/>
    </xf>
    <xf applyAlignment="false" applyBorder="false" applyFill="false" applyFont="false" applyNumberFormat="false" applyProtection="false" borderId="12" fillId="0" fontId="0" numFmtId="0" xfId="0">
      <alignment/>
    </xf>
    <xf applyAlignment="true" applyBorder="false" applyFill="false" applyFont="true" applyNumberFormat="true" applyProtection="false" borderId="13" fillId="0" fontId="3" numFmtId="170" xfId="0">
      <alignment vertical="bottom"/>
    </xf>
    <xf applyAlignment="true" applyBorder="false" applyFill="false" applyFont="true" applyNumberFormat="true" applyProtection="false" borderId="14" fillId="0" fontId="2" numFmtId="171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false"/>
  <chart>
    <title>
      <tx>
        <rich>
          <a:bodyPr anchorCtr="false" rot="0" spcFirstLastPara="false"/>
          <a:p>
            <a:pPr>
              <a:defRPr b="false" baseline="0" i="false" kern="1200" spc="0" strike="noStrike" sz="10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false" baseline="0" i="false" kern="0" lang="en-US" spc="0"/>
              <a:t>月均交易额近三年变化</a:t>
            </a:r>
          </a:p>
        </rich>
      </tx>
      <spPr/>
      <txPr>
        <a:bodyPr anchorCtr="false" rot="0" spcFirstLastPara="false"/>
        <a:p>
          <a:pPr>
            <a:defRPr b="false" baseline="0" i="false" kern="1200" spc="0" strike="noStrike" sz="10000" u="none"/>
          </a:pPr>
          <a:endParaRPr lang="en-US"/>
        </a:p>
      </txPr>
    </title>
    <view3D>
      <rotX val="0"/>
      <rotY val="0"/>
      <rAngAx val="0"/>
      <depthPercent val="100"/>
    </view3D>
    <floor>
      <thickness val="0"/>
    </floor>
    <sideWall>
      <thickness val="0"/>
    </sideWall>
    <backWall>
      <thickness val="0"/>
    </backWall>
    <plotArea>
      <lineChart>
        <grouping val="standard"/>
        <varyColors val="false"/>
        <ser>
          <idx val="0"/>
          <order val="0"/>
          <tx>
            <strRef>
              <f/>
            </strRef>
          </tx>
          <spPr>
            <a:ln cap="rnd" w="25400">
              <a:solidFill>
                <a:schemeClr val="accent1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'趋势分析'!$B$3:$E$3</f>
            </numRef>
          </val>
          <smooth val="false"/>
        </ser>
        <ser>
          <idx val="1"/>
          <order val="1"/>
          <tx>
            <strRef>
              <f/>
            </strRef>
          </tx>
          <spPr>
            <a:ln cap="rnd" w="25400">
              <a:solidFill>
                <a:schemeClr val="accent2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'趋势分析'!$B$4:$E$4</f>
            </numRef>
          </val>
          <smooth val="false"/>
        </ser>
        <ser>
          <idx val="2"/>
          <order val="2"/>
          <tx>
            <strRef>
              <f/>
            </strRef>
          </tx>
          <spPr>
            <a:ln cap="rnd" w="25400">
              <a:solidFill>
                <a:schemeClr val="accent3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'趋势分析'!$B$5:$E$5</f>
            </numRef>
          </val>
          <smooth val="false"/>
        </ser>
        <ser>
          <idx val="3"/>
          <order val="3"/>
          <tx>
            <strRef>
              <f/>
            </strRef>
          </tx>
          <spPr>
            <a:ln cap="rnd" w="25400">
              <a:solidFill>
                <a:schemeClr val="accent4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'趋势分析'!$B$6:$E$6</f>
            </numRef>
          </val>
          <smooth val="false"/>
        </ser>
        <ser>
          <idx val="4"/>
          <order val="4"/>
          <tx>
            <strRef>
              <f/>
            </strRef>
          </tx>
          <spPr>
            <a:ln cap="rnd" w="25400">
              <a:solidFill>
                <a:schemeClr val="accent5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'趋势分析'!$B$7:$E$7</f>
            </numRef>
          </val>
          <smooth val="false"/>
        </ser>
        <ser>
          <idx val="5"/>
          <order val="5"/>
          <tx>
            <strRef>
              <f/>
            </strRef>
          </tx>
          <spPr>
            <a:ln cap="rnd" w="25400">
              <a:solidFill>
                <a:schemeClr val="accent6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'趋势分析'!$B$8:$E$8</f>
            </numRef>
          </val>
          <smooth val="false"/>
        </ser>
        <ser>
          <idx val="6"/>
          <order val="6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'趋势分析'!$B$9:$E$9</f>
            </numRef>
          </val>
          <smooth val="false"/>
        </ser>
        <ser>
          <idx val="7"/>
          <order val="7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'趋势分析'!$B$10:$E$10</f>
            </numRef>
          </val>
          <smooth val="false"/>
        </ser>
        <ser>
          <idx val="8"/>
          <order val="8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'趋势分析'!$B$11:$E$11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autoZero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autoZero"/>
        <crossBetween val="between"/>
      </valAx>
    </plotArea>
    <legend>
      <legendPos val="b"/>
      <overlay val="false"/>
    </legend>
    <plotVisOnly val="fals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2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false"/>
  <chart>
    <title>
      <tx>
        <rich>
          <a:bodyPr anchorCtr="false" rot="0" spcFirstLastPara="false"/>
          <a:p>
            <a:pPr>
              <a:defRPr b="false" baseline="0" i="false" kern="1200" spc="0" strike="noStrike" sz="10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false" baseline="0" i="false" kern="0" lang="en-US" spc="0"/>
              <a:t>分期率近三年变化</a:t>
            </a:r>
          </a:p>
        </rich>
      </tx>
      <spPr/>
      <txPr>
        <a:bodyPr anchorCtr="false" rot="0" spcFirstLastPara="false"/>
        <a:p>
          <a:pPr>
            <a:defRPr b="false" baseline="0" i="false" kern="1200" spc="0" strike="noStrike" sz="10000" u="none"/>
          </a:pPr>
          <a:endParaRPr lang="en-US"/>
        </a:p>
      </txPr>
    </title>
    <view3D>
      <rotX val="0"/>
      <rotY val="0"/>
      <rAngAx val="0"/>
      <depthPercent val="100"/>
    </view3D>
    <floor>
      <thickness val="0"/>
    </floor>
    <sideWall>
      <thickness val="0"/>
    </sideWall>
    <backWall>
      <thickness val="0"/>
    </backWall>
    <plotArea>
      <lineChart>
        <grouping val="standard"/>
        <varyColors val="false"/>
        <ser>
          <idx val="0"/>
          <order val="0"/>
          <tx>
            <strRef>
              <f/>
            </strRef>
          </tx>
          <spPr>
            <a:ln cap="rnd" w="25400">
              <a:solidFill>
                <a:schemeClr val="accent1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'趋势分析'!$B$14:$E$14</f>
            </numRef>
          </val>
          <smooth val="false"/>
        </ser>
        <ser>
          <idx val="1"/>
          <order val="1"/>
          <tx>
            <strRef>
              <f/>
            </strRef>
          </tx>
          <spPr>
            <a:ln cap="rnd" w="25400">
              <a:solidFill>
                <a:schemeClr val="accent2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'趋势分析'!$B$15:$E$15</f>
            </numRef>
          </val>
          <smooth val="false"/>
        </ser>
        <ser>
          <idx val="2"/>
          <order val="2"/>
          <tx>
            <strRef>
              <f/>
            </strRef>
          </tx>
          <spPr>
            <a:ln cap="rnd" w="25400">
              <a:solidFill>
                <a:schemeClr val="accent3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'趋势分析'!$B$16:$E$16</f>
            </numRef>
          </val>
          <smooth val="false"/>
        </ser>
        <ser>
          <idx val="3"/>
          <order val="3"/>
          <tx>
            <strRef>
              <f/>
            </strRef>
          </tx>
          <spPr>
            <a:ln cap="rnd" w="25400">
              <a:solidFill>
                <a:schemeClr val="accent4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'趋势分析'!$B$17:$E$17</f>
            </numRef>
          </val>
          <smooth val="false"/>
        </ser>
        <ser>
          <idx val="4"/>
          <order val="4"/>
          <tx>
            <strRef>
              <f/>
            </strRef>
          </tx>
          <spPr>
            <a:ln cap="rnd" w="25400">
              <a:solidFill>
                <a:schemeClr val="accent5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'趋势分析'!$B$18:$E$18</f>
            </numRef>
          </val>
          <smooth val="false"/>
        </ser>
        <ser>
          <idx val="5"/>
          <order val="5"/>
          <tx>
            <strRef>
              <f/>
            </strRef>
          </tx>
          <spPr>
            <a:ln cap="rnd" w="25400">
              <a:solidFill>
                <a:schemeClr val="accent6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'趋势分析'!$B$19:$E$19</f>
            </numRef>
          </val>
          <smooth val="false"/>
        </ser>
        <ser>
          <idx val="6"/>
          <order val="6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'趋势分析'!$B$20:$E$20</f>
            </numRef>
          </val>
          <smooth val="false"/>
        </ser>
        <ser>
          <idx val="7"/>
          <order val="7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'趋势分析'!$B$21:$E$21</f>
            </numRef>
          </val>
          <smooth val="false"/>
        </ser>
        <ser>
          <idx val="8"/>
          <order val="8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'趋势分析'!$B$22:$E$22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autoZero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autoZero"/>
        <crossBetween val="between"/>
      </valAx>
    </plotArea>
    <legend>
      <legendPos val="b"/>
      <overlay val="false"/>
    </legend>
    <plotVisOnly val="fals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3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false"/>
  <chart>
    <title>
      <tx>
        <rich>
          <a:bodyPr anchorCtr="false" rot="0" spcFirstLastPara="false"/>
          <a:p>
            <a:pPr>
              <a:defRPr b="false" baseline="0" i="false" kern="1200" spc="0" strike="noStrike" sz="10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false" baseline="0" i="false" kern="0" lang="en-US" spc="0"/>
              <a:t>不良率近三年变化</a:t>
            </a:r>
          </a:p>
        </rich>
      </tx>
      <spPr/>
      <txPr>
        <a:bodyPr anchorCtr="false" rot="0" spcFirstLastPara="false"/>
        <a:p>
          <a:pPr>
            <a:defRPr b="false" baseline="0" i="false" kern="1200" spc="0" strike="noStrike" sz="10000" u="none"/>
          </a:pPr>
          <a:endParaRPr lang="en-US"/>
        </a:p>
      </txPr>
    </title>
    <view3D>
      <rotX val="0"/>
      <rotY val="0"/>
      <rAngAx val="0"/>
      <depthPercent val="100"/>
    </view3D>
    <floor>
      <thickness val="0"/>
    </floor>
    <sideWall>
      <thickness val="0"/>
    </sideWall>
    <backWall>
      <thickness val="0"/>
    </backWall>
    <plotArea>
      <lineChart>
        <grouping val="standard"/>
        <varyColors val="false"/>
        <ser>
          <idx val="0"/>
          <order val="0"/>
          <tx>
            <strRef>
              <f/>
            </strRef>
          </tx>
          <spPr>
            <a:ln cap="rnd" w="25400">
              <a:solidFill>
                <a:schemeClr val="accent1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'趋势分析'!$B$25:$E$25</f>
            </numRef>
          </val>
          <smooth val="false"/>
        </ser>
        <ser>
          <idx val="1"/>
          <order val="1"/>
          <tx>
            <strRef>
              <f/>
            </strRef>
          </tx>
          <spPr>
            <a:ln cap="rnd" w="25400">
              <a:solidFill>
                <a:schemeClr val="accent2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'趋势分析'!$B$26:$E$26</f>
            </numRef>
          </val>
          <smooth val="false"/>
        </ser>
        <ser>
          <idx val="2"/>
          <order val="2"/>
          <tx>
            <strRef>
              <f/>
            </strRef>
          </tx>
          <spPr>
            <a:ln cap="rnd" w="25400">
              <a:solidFill>
                <a:schemeClr val="accent3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'趋势分析'!$B$27:$E$27</f>
            </numRef>
          </val>
          <smooth val="false"/>
        </ser>
        <ser>
          <idx val="3"/>
          <order val="3"/>
          <tx>
            <strRef>
              <f/>
            </strRef>
          </tx>
          <spPr>
            <a:ln cap="rnd" w="25400">
              <a:solidFill>
                <a:schemeClr val="accent4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'趋势分析'!$B$28:$E$28</f>
            </numRef>
          </val>
          <smooth val="false"/>
        </ser>
        <ser>
          <idx val="4"/>
          <order val="4"/>
          <tx>
            <strRef>
              <f/>
            </strRef>
          </tx>
          <spPr>
            <a:ln cap="rnd" w="25400">
              <a:solidFill>
                <a:schemeClr val="accent5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'趋势分析'!$B$29:$E$29</f>
            </numRef>
          </val>
          <smooth val="false"/>
        </ser>
        <ser>
          <idx val="5"/>
          <order val="5"/>
          <tx>
            <strRef>
              <f/>
            </strRef>
          </tx>
          <spPr>
            <a:ln cap="rnd" w="25400">
              <a:solidFill>
                <a:schemeClr val="accent6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'趋势分析'!$B$30:$E$30</f>
            </numRef>
          </val>
          <smooth val="false"/>
        </ser>
        <ser>
          <idx val="6"/>
          <order val="6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'趋势分析'!$B$31:$E$31</f>
            </numRef>
          </val>
          <smooth val="false"/>
        </ser>
        <ser>
          <idx val="7"/>
          <order val="7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'趋势分析'!$B$32:$E$32</f>
            </numRef>
          </val>
          <smooth val="false"/>
        </ser>
        <ser>
          <idx val="8"/>
          <order val="8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'趋势分析'!$B$33:$E$33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autoZero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autoZero"/>
        <crossBetween val="between"/>
      </valAx>
    </plotArea>
    <legend>
      <legendPos val="b"/>
      <overlay val="false"/>
    </legend>
    <plotVisOnly val="fals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4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false"/>
  <chart>
    <title>
      <tx>
        <rich>
          <a:bodyPr anchorCtr="false" rot="0" spcFirstLastPara="false"/>
          <a:p>
            <a:pPr>
              <a:defRPr b="false" baseline="0" i="false" kern="1200" spc="0" strike="noStrike" sz="10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false" baseline="0" i="false" kern="0" lang="en-US" spc="0"/>
              <a:t>人均拥有卡量近三年变化</a:t>
            </a:r>
          </a:p>
        </rich>
      </tx>
      <spPr/>
      <txPr>
        <a:bodyPr anchorCtr="false" rot="0" spcFirstLastPara="false"/>
        <a:p>
          <a:pPr>
            <a:defRPr b="false" baseline="0" i="false" kern="1200" spc="0" strike="noStrike" sz="10000" u="none"/>
          </a:pPr>
          <a:endParaRPr lang="en-US"/>
        </a:p>
      </txPr>
    </title>
    <view3D>
      <rotX val="0"/>
      <rotY val="0"/>
      <rAngAx val="0"/>
      <depthPercent val="100"/>
    </view3D>
    <floor>
      <thickness val="0"/>
    </floor>
    <sideWall>
      <thickness val="0"/>
    </sideWall>
    <backWall>
      <thickness val="0"/>
    </backWall>
    <plotArea>
      <lineChart>
        <grouping val="standard"/>
        <varyColors val="false"/>
        <ser>
          <idx val="0"/>
          <order val="0"/>
          <tx>
            <strRef>
              <f/>
            </strRef>
          </tx>
          <spPr>
            <a:ln cap="rnd" w="25400">
              <a:solidFill>
                <a:schemeClr val="accent1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'趋势分析'!$B$36:$E$36</f>
            </numRef>
          </val>
          <smooth val="false"/>
        </ser>
        <ser>
          <idx val="1"/>
          <order val="1"/>
          <tx>
            <strRef>
              <f/>
            </strRef>
          </tx>
          <spPr>
            <a:ln cap="rnd" w="25400">
              <a:solidFill>
                <a:schemeClr val="accent2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'趋势分析'!$B$37:$E$37</f>
            </numRef>
          </val>
          <smooth val="false"/>
        </ser>
        <ser>
          <idx val="2"/>
          <order val="2"/>
          <tx>
            <strRef>
              <f/>
            </strRef>
          </tx>
          <spPr>
            <a:ln cap="rnd" w="25400">
              <a:solidFill>
                <a:schemeClr val="accent3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'趋势分析'!$B$38:$E$38</f>
            </numRef>
          </val>
          <smooth val="false"/>
        </ser>
        <ser>
          <idx val="3"/>
          <order val="3"/>
          <tx>
            <strRef>
              <f/>
            </strRef>
          </tx>
          <spPr>
            <a:ln cap="rnd" w="25400">
              <a:solidFill>
                <a:schemeClr val="accent4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'趋势分析'!$B$39:$E$39</f>
            </numRef>
          </val>
          <smooth val="false"/>
        </ser>
        <ser>
          <idx val="4"/>
          <order val="4"/>
          <tx>
            <strRef>
              <f/>
            </strRef>
          </tx>
          <spPr>
            <a:ln cap="rnd" w="25400">
              <a:solidFill>
                <a:schemeClr val="accent5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'趋势分析'!$B$40:$E$40</f>
            </numRef>
          </val>
          <smooth val="false"/>
        </ser>
        <ser>
          <idx val="5"/>
          <order val="5"/>
          <tx>
            <strRef>
              <f/>
            </strRef>
          </tx>
          <spPr>
            <a:ln cap="rnd" w="25400">
              <a:solidFill>
                <a:schemeClr val="accent6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'趋势分析'!$B$41:$E$41</f>
            </numRef>
          </val>
          <smooth val="false"/>
        </ser>
        <ser>
          <idx val="6"/>
          <order val="6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'趋势分析'!$B$42:$E$42</f>
            </numRef>
          </val>
          <smooth val="false"/>
        </ser>
        <ser>
          <idx val="7"/>
          <order val="7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'趋势分析'!$B$43:$E$43</f>
            </numRef>
          </val>
          <smooth val="false"/>
        </ser>
        <ser>
          <idx val="8"/>
          <order val="8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'趋势分析'!$B$44:$E$44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autoZero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autoZero"/>
        <crossBetween val="between"/>
      </valAx>
    </plotArea>
    <legend>
      <legendPos val="b"/>
      <overlay val="false"/>
    </legend>
    <plotVisOnly val="fals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5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false"/>
  <chart>
    <title>
      <tx>
        <rich>
          <a:bodyPr anchorCtr="false" rot="0" spcFirstLastPara="false"/>
          <a:p>
            <a:pPr>
              <a:defRPr b="false" baseline="0" i="false" kern="1200" spc="0" strike="noStrike" sz="10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false" baseline="0" i="false" kern="0" lang="en-US" spc="0"/>
              <a:t>单客户年收入近三年变化</a:t>
            </a:r>
          </a:p>
        </rich>
      </tx>
      <spPr/>
      <txPr>
        <a:bodyPr anchorCtr="false" rot="0" spcFirstLastPara="false"/>
        <a:p>
          <a:pPr>
            <a:defRPr b="false" baseline="0" i="false" kern="1200" spc="0" strike="noStrike" sz="10000" u="none"/>
          </a:pPr>
          <a:endParaRPr lang="en-US"/>
        </a:p>
      </txPr>
    </title>
    <view3D>
      <rotX val="0"/>
      <rotY val="0"/>
      <rAngAx val="0"/>
      <depthPercent val="100"/>
    </view3D>
    <floor>
      <thickness val="0"/>
    </floor>
    <sideWall>
      <thickness val="0"/>
    </sideWall>
    <backWall>
      <thickness val="0"/>
    </backWall>
    <plotArea>
      <lineChart>
        <grouping val="standard"/>
        <varyColors val="false"/>
        <ser>
          <idx val="0"/>
          <order val="0"/>
          <tx>
            <strRef>
              <f/>
            </strRef>
          </tx>
          <spPr>
            <a:ln cap="rnd" w="25400">
              <a:solidFill>
                <a:schemeClr val="accent1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'趋势分析'!$B$47:$E$47</f>
            </numRef>
          </val>
          <smooth val="false"/>
        </ser>
        <ser>
          <idx val="1"/>
          <order val="1"/>
          <tx>
            <strRef>
              <f/>
            </strRef>
          </tx>
          <spPr>
            <a:ln cap="rnd" w="25400">
              <a:solidFill>
                <a:schemeClr val="accent2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'趋势分析'!$B$48:$E$48</f>
            </numRef>
          </val>
          <smooth val="false"/>
        </ser>
        <ser>
          <idx val="2"/>
          <order val="2"/>
          <tx>
            <strRef>
              <f/>
            </strRef>
          </tx>
          <spPr>
            <a:ln cap="rnd" w="25400">
              <a:solidFill>
                <a:schemeClr val="accent3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'趋势分析'!$B$49:$E$49</f>
            </numRef>
          </val>
          <smooth val="false"/>
        </ser>
        <ser>
          <idx val="3"/>
          <order val="3"/>
          <tx>
            <strRef>
              <f/>
            </strRef>
          </tx>
          <spPr>
            <a:ln cap="rnd" w="25400">
              <a:solidFill>
                <a:schemeClr val="accent4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'趋势分析'!$B$50:$E$50</f>
            </numRef>
          </val>
          <smooth val="false"/>
        </ser>
        <ser>
          <idx val="4"/>
          <order val="4"/>
          <tx>
            <strRef>
              <f/>
            </strRef>
          </tx>
          <spPr>
            <a:ln cap="rnd" w="25400">
              <a:solidFill>
                <a:schemeClr val="accent5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'趋势分析'!$B$51:$E$51</f>
            </numRef>
          </val>
          <smooth val="false"/>
        </ser>
        <ser>
          <idx val="5"/>
          <order val="5"/>
          <tx>
            <strRef>
              <f/>
            </strRef>
          </tx>
          <spPr>
            <a:ln cap="rnd" w="25400">
              <a:solidFill>
                <a:schemeClr val="accent6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'趋势分析'!$B$52:$E$52</f>
            </numRef>
          </val>
          <smooth val="false"/>
        </ser>
        <ser>
          <idx val="6"/>
          <order val="6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'趋势分析'!$B$53:$E$53</f>
            </numRef>
          </val>
          <smooth val="false"/>
        </ser>
        <ser>
          <idx val="7"/>
          <order val="7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'趋势分析'!$B$54:$E$54</f>
            </numRef>
          </val>
          <smooth val="false"/>
        </ser>
        <ser>
          <idx val="8"/>
          <order val="8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'趋势分析'!$B$55:$E$55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autoZero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autoZero"/>
        <crossBetween val="between"/>
      </valAx>
    </plotArea>
    <legend>
      <legendPos val="b"/>
      <overlay val="false"/>
    </legend>
    <plotVisOnly val="fals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6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false"/>
  <chart>
    <title>
      <tx>
        <rich>
          <a:bodyPr anchorCtr="false" rot="0" spcFirstLastPara="false"/>
          <a:p>
            <a:pPr>
              <a:defRPr b="false" baseline="0" i="false" kern="1200" spc="0" strike="noStrike" sz="10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false" baseline="0" i="false" kern="0" lang="en-US" spc="0"/>
              <a:t>单卡年收入近三年变化</a:t>
            </a:r>
          </a:p>
        </rich>
      </tx>
      <spPr/>
      <txPr>
        <a:bodyPr anchorCtr="false" rot="0" spcFirstLastPara="false"/>
        <a:p>
          <a:pPr>
            <a:defRPr b="false" baseline="0" i="false" kern="1200" spc="0" strike="noStrike" sz="10000" u="none"/>
          </a:pPr>
          <a:endParaRPr lang="en-US"/>
        </a:p>
      </txPr>
    </title>
    <view3D>
      <rotX val="0"/>
      <rotY val="0"/>
      <rAngAx val="0"/>
      <depthPercent val="100"/>
    </view3D>
    <floor>
      <thickness val="0"/>
    </floor>
    <sideWall>
      <thickness val="0"/>
    </sideWall>
    <backWall>
      <thickness val="0"/>
    </backWall>
    <plotArea>
      <lineChart>
        <grouping val="standard"/>
        <varyColors val="false"/>
        <ser>
          <idx val="0"/>
          <order val="0"/>
          <tx>
            <strRef>
              <f/>
            </strRef>
          </tx>
          <spPr>
            <a:ln cap="rnd" w="25400">
              <a:solidFill>
                <a:schemeClr val="accent1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'趋势分析'!$B$58:$E$58</f>
            </numRef>
          </val>
          <smooth val="false"/>
        </ser>
        <ser>
          <idx val="1"/>
          <order val="1"/>
          <tx>
            <strRef>
              <f/>
            </strRef>
          </tx>
          <spPr>
            <a:ln cap="rnd" w="25400">
              <a:solidFill>
                <a:schemeClr val="accent2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'趋势分析'!$B$59:$E$59</f>
            </numRef>
          </val>
          <smooth val="false"/>
        </ser>
        <ser>
          <idx val="2"/>
          <order val="2"/>
          <tx>
            <strRef>
              <f/>
            </strRef>
          </tx>
          <spPr>
            <a:ln cap="rnd" w="25400">
              <a:solidFill>
                <a:schemeClr val="accent3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'趋势分析'!$B$60:$E$60</f>
            </numRef>
          </val>
          <smooth val="false"/>
        </ser>
        <ser>
          <idx val="3"/>
          <order val="3"/>
          <tx>
            <strRef>
              <f/>
            </strRef>
          </tx>
          <spPr>
            <a:ln cap="rnd" w="25400">
              <a:solidFill>
                <a:schemeClr val="accent4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'趋势分析'!$B$61:$E$61</f>
            </numRef>
          </val>
          <smooth val="false"/>
        </ser>
        <ser>
          <idx val="4"/>
          <order val="4"/>
          <tx>
            <strRef>
              <f/>
            </strRef>
          </tx>
          <spPr>
            <a:ln cap="rnd" w="25400">
              <a:solidFill>
                <a:schemeClr val="accent5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'趋势分析'!$B$62:$E$62</f>
            </numRef>
          </val>
          <smooth val="false"/>
        </ser>
        <ser>
          <idx val="5"/>
          <order val="5"/>
          <tx>
            <strRef>
              <f/>
            </strRef>
          </tx>
          <spPr>
            <a:ln cap="rnd" w="25400">
              <a:solidFill>
                <a:schemeClr val="accent6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'趋势分析'!$B$63:$E$63</f>
            </numRef>
          </val>
          <smooth val="false"/>
        </ser>
        <ser>
          <idx val="6"/>
          <order val="6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'趋势分析'!$B$64:$E$64</f>
            </numRef>
          </val>
          <smooth val="false"/>
        </ser>
        <ser>
          <idx val="7"/>
          <order val="7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'趋势分析'!$B$65:$E$65</f>
            </numRef>
          </val>
          <smooth val="false"/>
        </ser>
        <ser>
          <idx val="8"/>
          <order val="8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'趋势分析'!$B$66:$E$66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autoZero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autoZero"/>
        <crossBetween val="between"/>
      </valAx>
    </plotArea>
    <legend>
      <legendPos val="b"/>
      <overlay val="false"/>
    </legend>
    <plotVisOnly val="fals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7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false"/>
  <chart>
    <title>
      <tx>
        <rich>
          <a:bodyPr anchorCtr="false" rot="0" spcFirstLastPara="false"/>
          <a:p>
            <a:pPr>
              <a:defRPr b="false" baseline="0" i="false" kern="1200" spc="0" strike="noStrike" sz="10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false" baseline="0" i="false" kern="0" lang="en-US" spc="0"/>
              <a:t>卡均贷款近三年变化</a:t>
            </a:r>
          </a:p>
        </rich>
      </tx>
      <spPr/>
      <txPr>
        <a:bodyPr anchorCtr="false" rot="0" spcFirstLastPara="false"/>
        <a:p>
          <a:pPr>
            <a:defRPr b="false" baseline="0" i="false" kern="1200" spc="0" strike="noStrike" sz="10000" u="none"/>
          </a:pPr>
          <a:endParaRPr lang="en-US"/>
        </a:p>
      </txPr>
    </title>
    <view3D>
      <rotX val="0"/>
      <rotY val="0"/>
      <rAngAx val="0"/>
      <depthPercent val="100"/>
    </view3D>
    <floor>
      <thickness val="0"/>
    </floor>
    <sideWall>
      <thickness val="0"/>
    </sideWall>
    <backWall>
      <thickness val="0"/>
    </backWall>
    <plotArea>
      <lineChart>
        <grouping val="standard"/>
        <varyColors val="false"/>
        <ser>
          <idx val="0"/>
          <order val="0"/>
          <tx>
            <strRef>
              <f/>
            </strRef>
          </tx>
          <spPr>
            <a:ln cap="rnd" w="25400">
              <a:solidFill>
                <a:schemeClr val="accent1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'趋势分析'!$B$69:$E$69</f>
            </numRef>
          </val>
          <smooth val="false"/>
        </ser>
        <ser>
          <idx val="1"/>
          <order val="1"/>
          <tx>
            <strRef>
              <f/>
            </strRef>
          </tx>
          <spPr>
            <a:ln cap="rnd" w="25400">
              <a:solidFill>
                <a:schemeClr val="accent2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'趋势分析'!$B$70:$E$70</f>
            </numRef>
          </val>
          <smooth val="false"/>
        </ser>
        <ser>
          <idx val="2"/>
          <order val="2"/>
          <tx>
            <strRef>
              <f/>
            </strRef>
          </tx>
          <spPr>
            <a:ln cap="rnd" w="25400">
              <a:solidFill>
                <a:schemeClr val="accent3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'趋势分析'!$B$71:$E$71</f>
            </numRef>
          </val>
          <smooth val="false"/>
        </ser>
        <ser>
          <idx val="3"/>
          <order val="3"/>
          <tx>
            <strRef>
              <f/>
            </strRef>
          </tx>
          <spPr>
            <a:ln cap="rnd" w="25400">
              <a:solidFill>
                <a:schemeClr val="accent4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'趋势分析'!$B$72:$E$72</f>
            </numRef>
          </val>
          <smooth val="false"/>
        </ser>
        <ser>
          <idx val="4"/>
          <order val="4"/>
          <tx>
            <strRef>
              <f/>
            </strRef>
          </tx>
          <spPr>
            <a:ln cap="rnd" w="25400">
              <a:solidFill>
                <a:schemeClr val="accent5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'趋势分析'!$B$73:$E$73</f>
            </numRef>
          </val>
          <smooth val="false"/>
        </ser>
        <ser>
          <idx val="5"/>
          <order val="5"/>
          <tx>
            <strRef>
              <f/>
            </strRef>
          </tx>
          <spPr>
            <a:ln cap="rnd" w="25400">
              <a:solidFill>
                <a:schemeClr val="accent6"/>
              </a:solid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'趋势分析'!$B$74:$E$74</f>
            </numRef>
          </val>
          <smooth val="false"/>
        </ser>
        <ser>
          <idx val="6"/>
          <order val="6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'趋势分析'!$B$75:$E$75</f>
            </numRef>
          </val>
          <smooth val="false"/>
        </ser>
        <ser>
          <idx val="7"/>
          <order val="7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'趋势分析'!$B$76:$E$76</f>
            </numRef>
          </val>
          <smooth val="false"/>
        </ser>
        <ser>
          <idx val="8"/>
          <order val="8"/>
          <tx>
            <strRef>
              <f/>
            </strRef>
          </tx>
          <spPr>
            <a:ln cap="rnd" w="25400"/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val>
            <numRef>
              <f>'趋势分析'!$B$77:$E$77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autoZero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autoZero"/>
        <crossBetween val="between"/>
      </valAx>
    </plotArea>
    <legend>
      <legendPos val="b"/>
      <overlay val="false"/>
    </legend>
    <plotVisOnly val="fals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Relationship Id="rId2" Target="../charts/chart2.xml" Type="http://schemas.openxmlformats.org/officeDocument/2006/relationships/chart"></Relationship><Relationship Id="rId3" Target="../charts/chart3.xml" Type="http://schemas.openxmlformats.org/officeDocument/2006/relationships/chart"></Relationship><Relationship Id="rId4" Target="../charts/chart4.xml" Type="http://schemas.openxmlformats.org/officeDocument/2006/relationships/chart"></Relationship><Relationship Id="rId5" Target="../charts/chart5.xml" Type="http://schemas.openxmlformats.org/officeDocument/2006/relationships/chart"></Relationship><Relationship Id="rId6" Target="../charts/chart6.xml" Type="http://schemas.openxmlformats.org/officeDocument/2006/relationships/chart"></Relationship><Relationship Id="rId7" Target="../charts/chart7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657225</xdr:colOff>
      <xdr:row>1</xdr:row>
      <xdr:rowOff>0</xdr:rowOff>
    </xdr:from>
    <xdr:to>
      <xdr:col>14</xdr:col>
      <xdr:colOff>104775</xdr:colOff>
      <xdr:row>12</xdr:row>
      <xdr:rowOff>76200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  <xdr:twoCellAnchor>
    <xdr:from>
      <xdr:col>6</xdr:col>
      <xdr:colOff>676275</xdr:colOff>
      <xdr:row>12</xdr:row>
      <xdr:rowOff>142875</xdr:rowOff>
    </xdr:from>
    <xdr:to>
      <xdr:col>14</xdr:col>
      <xdr:colOff>123825</xdr:colOff>
      <xdr:row>23</xdr:row>
      <xdr:rowOff>28575</xdr:rowOff>
    </xdr:to>
    <xdr:graphicFrame macro="">
      <xdr:nvGraphicFramePr>
        <xdr:cNvPr id="3" name="Chart 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false" fPrintsWithSheet="true"/>
  </xdr:twoCellAnchor>
  <xdr:twoCellAnchor>
    <xdr:from>
      <xdr:col>6</xdr:col>
      <xdr:colOff>619125</xdr:colOff>
      <xdr:row>24</xdr:row>
      <xdr:rowOff>114300</xdr:rowOff>
    </xdr:from>
    <xdr:to>
      <xdr:col>14</xdr:col>
      <xdr:colOff>95250</xdr:colOff>
      <xdr:row>35</xdr:row>
      <xdr:rowOff>104775</xdr:rowOff>
    </xdr:to>
    <xdr:graphicFrame macro="">
      <xdr:nvGraphicFramePr>
        <xdr:cNvPr id="4" name="Chart 4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false" fPrintsWithSheet="true"/>
  </xdr:twoCellAnchor>
  <xdr:twoCellAnchor>
    <xdr:from>
      <xdr:col>6</xdr:col>
      <xdr:colOff>685800</xdr:colOff>
      <xdr:row>35</xdr:row>
      <xdr:rowOff>200025</xdr:rowOff>
    </xdr:from>
    <xdr:to>
      <xdr:col>14</xdr:col>
      <xdr:colOff>161925</xdr:colOff>
      <xdr:row>46</xdr:row>
      <xdr:rowOff>152400</xdr:rowOff>
    </xdr:to>
    <xdr:graphicFrame macro="">
      <xdr:nvGraphicFramePr>
        <xdr:cNvPr id="5" name="Chart 5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false" fPrintsWithSheet="true"/>
  </xdr:twoCellAnchor>
  <xdr:twoCellAnchor>
    <xdr:from>
      <xdr:col>7</xdr:col>
      <xdr:colOff>742950</xdr:colOff>
      <xdr:row>47</xdr:row>
      <xdr:rowOff>0</xdr:rowOff>
    </xdr:from>
    <xdr:to>
      <xdr:col>14</xdr:col>
      <xdr:colOff>142875</xdr:colOff>
      <xdr:row>57</xdr:row>
      <xdr:rowOff>133350</xdr:rowOff>
    </xdr:to>
    <xdr:graphicFrame macro="">
      <xdr:nvGraphicFramePr>
        <xdr:cNvPr id="6" name="Chart 6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false" fPrintsWithSheet="true"/>
  </xdr:twoCellAnchor>
  <xdr:twoCellAnchor>
    <xdr:from>
      <xdr:col>7</xdr:col>
      <xdr:colOff>752475</xdr:colOff>
      <xdr:row>57</xdr:row>
      <xdr:rowOff>180975</xdr:rowOff>
    </xdr:from>
    <xdr:to>
      <xdr:col>14</xdr:col>
      <xdr:colOff>133350</xdr:colOff>
      <xdr:row>68</xdr:row>
      <xdr:rowOff>190500</xdr:rowOff>
    </xdr:to>
    <xdr:graphicFrame macro="">
      <xdr:nvGraphicFramePr>
        <xdr:cNvPr id="7" name="Chart 7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false" fPrintsWithSheet="true"/>
  </xdr:twoCellAnchor>
  <xdr:twoCellAnchor>
    <xdr:from>
      <xdr:col>7</xdr:col>
      <xdr:colOff>742950</xdr:colOff>
      <xdr:row>69</xdr:row>
      <xdr:rowOff>95250</xdr:rowOff>
    </xdr:from>
    <xdr:to>
      <xdr:col>14</xdr:col>
      <xdr:colOff>9525</xdr:colOff>
      <xdr:row>80</xdr:row>
      <xdr:rowOff>0</xdr:rowOff>
    </xdr:to>
    <xdr:graphicFrame macro="">
      <xdr:nvGraphicFramePr>
        <xdr:cNvPr id="8" name="Chart 8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1" min="1" style="0" width="3"/>
    <col collapsed="false" customWidth="true" hidden="false" max="2" min="2" style="0" width="4"/>
    <col collapsed="false" customWidth="true" hidden="false" max="3" min="3" style="0" width="8"/>
    <col collapsed="false" customWidth="true" hidden="false" max="4" min="4" style="0" width="10"/>
    <col collapsed="false" customWidth="true" hidden="false" max="5" min="5" style="0" width="8"/>
    <col collapsed="false" customWidth="true" hidden="false" max="6" min="6" style="0" width="4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8"/>
    <col collapsed="false" customWidth="true" hidden="false" max="11" min="11" style="0" width="1"/>
    <col collapsed="false" customWidth="true" hidden="false" max="12" min="12" style="0" width="8"/>
    <col collapsed="false" customWidth="true" hidden="false" max="13" min="13" style="0" width="8"/>
    <col collapsed="false" customWidth="true" hidden="false" max="14" min="14" style="0" width="8"/>
    <col collapsed="false" customWidth="true" hidden="false" max="15" min="15" style="0" width="8"/>
    <col collapsed="false" customWidth="true" hidden="false" max="16" min="16" style="0" width="1"/>
    <col collapsed="false" customWidth="true" hidden="false" max="17" min="17" style="0" width="12"/>
    <col collapsed="false" customWidth="true" hidden="false" max="18" min="18" style="0" width="13"/>
    <col collapsed="false" customWidth="true" hidden="false" max="19" min="19" style="0" width="12"/>
    <col collapsed="false" customWidth="true" hidden="false" max="20" min="20" style="0" width="14"/>
    <col collapsed="false" customWidth="true" hidden="false" max="21" min="21" style="0" width="12"/>
    <col collapsed="false" customWidth="true" hidden="false" max="22" min="22" style="0" width="12"/>
    <col collapsed="false" customWidth="true" hidden="false" max="23" min="23" style="0" width="12"/>
  </cols>
  <sheetData>
    <row customHeight="true" ht="16" r="1"/>
    <row customHeight="true" ht="16" r="2">
      <c r="B2" s="4" t="str">
        <v>月均交易额</v>
      </c>
      <c r="P2" s="4"/>
    </row>
    <row customHeight="true" ht="16" r="3">
      <c r="C3" s="3" t="str">
        <v>2018年</v>
      </c>
      <c r="D3" s="3" t="str">
        <v>2017年</v>
      </c>
      <c r="E3" s="3" t="str">
        <v>2016年</v>
      </c>
      <c r="F3" s="5">
        <v>2022</v>
      </c>
    </row>
    <row customHeight="true" ht="16" r="4">
      <c r="B4" t="str">
        <v>招行</v>
      </c>
      <c r="C4" s="1">
        <v>3750</v>
      </c>
      <c r="D4" s="1">
        <v>4630.51</v>
      </c>
      <c r="E4" s="1"/>
    </row>
    <row customHeight="true" ht="16" r="5">
      <c r="B5" t="str">
        <v>建行</v>
      </c>
      <c r="C5" s="1">
        <v>3424</v>
      </c>
      <c r="D5" s="1">
        <v>3401.643858391263</v>
      </c>
      <c r="E5" s="1">
        <v>3543.2656532369515</v>
      </c>
      <c r="F5" s="5">
        <v>2872</v>
      </c>
    </row>
    <row customHeight="true" ht="16" r="6">
      <c r="B6" t="str">
        <v>工行</v>
      </c>
      <c r="C6" s="1">
        <v>2667</v>
      </c>
      <c r="D6" s="1">
        <v>2331.002331002331</v>
      </c>
      <c r="E6" s="1"/>
    </row>
    <row customHeight="true" ht="16" r="7">
      <c r="B7" t="str">
        <v>中信</v>
      </c>
      <c r="C7" s="1">
        <v>3916</v>
      </c>
      <c r="D7" s="1">
        <v>4181.160497164444</v>
      </c>
      <c r="E7" s="1">
        <v>3991.069592026243</v>
      </c>
    </row>
    <row customHeight="true" ht="16" r="8">
      <c r="B8" t="str">
        <v>平安</v>
      </c>
      <c r="C8" s="1">
        <v>4407</v>
      </c>
      <c r="D8" s="1">
        <v>3362.8977569118415</v>
      </c>
      <c r="E8" s="1">
        <v>3648.4210142635284</v>
      </c>
    </row>
    <row customHeight="true" ht="16" r="9">
      <c r="B9" t="str">
        <v>浦发</v>
      </c>
      <c r="C9" s="1">
        <v>4014</v>
      </c>
      <c r="D9" s="1">
        <v>5490.322224369771</v>
      </c>
      <c r="E9" s="1">
        <v>3340.997122128795</v>
      </c>
    </row>
    <row customHeight="true" ht="16" r="10">
      <c r="B10" t="str">
        <v>民生</v>
      </c>
      <c r="C10" s="1">
        <v>6200</v>
      </c>
      <c r="D10" s="1">
        <v>5909.484051795597</v>
      </c>
      <c r="E10" s="1">
        <v>6044.679085714644</v>
      </c>
    </row>
    <row customHeight="true" ht="16" r="11">
      <c r="B11" t="str">
        <v>光大</v>
      </c>
      <c r="C11" s="1">
        <v>5252</v>
      </c>
      <c r="D11" s="1">
        <v>5137.329801406438</v>
      </c>
      <c r="E11" s="1">
        <v>4933.850809709782</v>
      </c>
    </row>
    <row customHeight="true" ht="16" r="12"/>
    <row r="13">
      <c r="B13" s="4" t="str">
        <v>分期率=卡均贷款/卡年交易额</v>
      </c>
    </row>
    <row r="14">
      <c r="C14" s="3" t="str">
        <v>2016年</v>
      </c>
      <c r="D14" s="3" t="str">
        <v>2017年</v>
      </c>
      <c r="E14" s="3" t="str">
        <v>2018年</v>
      </c>
      <c r="F14" s="5">
        <v>2022</v>
      </c>
    </row>
    <row r="15">
      <c r="B15" t="str">
        <v>招行</v>
      </c>
      <c r="C15" s="2"/>
      <c r="D15" s="2">
        <v>0.1654004455230856</v>
      </c>
      <c r="E15" s="2">
        <v>0.15165784709723878</v>
      </c>
    </row>
    <row r="16">
      <c r="B16" t="str">
        <v>建行</v>
      </c>
      <c r="C16" s="2">
        <v>0.18489891944056921</v>
      </c>
      <c r="D16" s="2">
        <v>0.21520883481384637</v>
      </c>
      <c r="E16" s="2">
        <v>0.21765668605583655</v>
      </c>
      <c r="F16" s="2">
        <v>0.294</v>
      </c>
    </row>
    <row r="17">
      <c r="B17" t="str">
        <v>工行</v>
      </c>
      <c r="C17" s="2"/>
      <c r="D17" s="2">
        <v>0.22282333333333335</v>
      </c>
      <c r="E17" s="2">
        <v>0.2160234482758621</v>
      </c>
    </row>
    <row r="18">
      <c r="B18" t="str">
        <v>中信</v>
      </c>
      <c r="C18" s="2">
        <v>0.22092776441323014</v>
      </c>
      <c r="D18" s="2">
        <v>0.22334450177578233</v>
      </c>
      <c r="E18" s="2">
        <v>0.21236241840945086</v>
      </c>
    </row>
    <row r="19">
      <c r="B19" t="str">
        <v>平安</v>
      </c>
      <c r="C19" s="2">
        <v>0.16152987078323944</v>
      </c>
      <c r="D19" s="2">
        <v>0.1962251858516212</v>
      </c>
      <c r="E19" s="2">
        <v>0.17369854085078318</v>
      </c>
    </row>
    <row r="20">
      <c r="B20" t="str">
        <v>浦发</v>
      </c>
      <c r="C20" s="2">
        <v>0.3942960856533075</v>
      </c>
      <c r="D20" s="2">
        <v>0.3504255451118051</v>
      </c>
      <c r="E20" s="2">
        <v>0.23986283398927247</v>
      </c>
    </row>
    <row r="21">
      <c r="B21" t="str">
        <v>民生</v>
      </c>
      <c r="C21" s="2">
        <v>0.16815109369729364</v>
      </c>
      <c r="D21" s="2">
        <v>0.17838133645096255</v>
      </c>
      <c r="E21" s="2">
        <v>0.1778099813485559</v>
      </c>
    </row>
    <row r="22">
      <c r="B22" t="str">
        <v>光大</v>
      </c>
      <c r="C22" s="2">
        <v>0.16769624240735187</v>
      </c>
      <c r="D22" s="2">
        <v>0.18094603263343118</v>
      </c>
      <c r="E22" s="2">
        <v>0.17539930309021595</v>
      </c>
    </row>
    <row r="23"/>
    <row r="24"/>
    <row r="25">
      <c r="B25" s="4" t="str">
        <v>不良率</v>
      </c>
      <c r="C25" s="3" t="str">
        <v>2018年</v>
      </c>
      <c r="D25" s="3" t="str">
        <v>2017年</v>
      </c>
      <c r="E25" s="3" t="str">
        <v>2016年</v>
      </c>
      <c r="F25" s="5"/>
    </row>
    <row r="26">
      <c r="B26" t="str">
        <v>招行</v>
      </c>
      <c r="C26" s="2">
        <v>0.0111</v>
      </c>
      <c r="D26" s="2">
        <v>0.0111</v>
      </c>
      <c r="E26" s="2">
        <v>0.014</v>
      </c>
    </row>
    <row r="27">
      <c r="B27" t="str">
        <v>建行</v>
      </c>
      <c r="C27" s="2">
        <v>0.0098</v>
      </c>
      <c r="D27" s="2">
        <v>0.0089</v>
      </c>
      <c r="E27" s="2">
        <v>0.0098</v>
      </c>
    </row>
    <row r="28">
      <c r="B28" t="str">
        <v>工行</v>
      </c>
      <c r="C28" s="2"/>
      <c r="D28" s="2"/>
      <c r="E28" s="2"/>
    </row>
    <row r="29">
      <c r="B29" t="str">
        <v>中信</v>
      </c>
      <c r="C29" s="2">
        <v>0.0185</v>
      </c>
      <c r="D29" s="2">
        <v>0.0124</v>
      </c>
      <c r="E29" s="2">
        <v>0.0148</v>
      </c>
    </row>
    <row r="30">
      <c r="B30" t="str">
        <v>平安</v>
      </c>
      <c r="C30" s="2">
        <v>0.0132</v>
      </c>
      <c r="D30" s="2">
        <v>0.0118</v>
      </c>
      <c r="E30" s="2">
        <v>0.0143</v>
      </c>
    </row>
    <row r="31">
      <c r="B31" t="str">
        <v>浦发</v>
      </c>
      <c r="C31" s="2">
        <v>0.0181</v>
      </c>
      <c r="D31" s="2">
        <v>0.0132</v>
      </c>
      <c r="E31" s="2">
        <v>0.0121</v>
      </c>
    </row>
    <row r="32">
      <c r="B32" t="str">
        <v>民生</v>
      </c>
      <c r="C32" s="2">
        <v>0.0215</v>
      </c>
      <c r="D32" s="2">
        <v>0.0207</v>
      </c>
      <c r="E32" s="2">
        <v>0.025</v>
      </c>
    </row>
    <row r="33">
      <c r="B33" t="str">
        <v>光大</v>
      </c>
      <c r="D33" s="2">
        <v>0.0109</v>
      </c>
      <c r="E33" s="2">
        <v>0.0082</v>
      </c>
    </row>
    <row r="34"/>
    <row r="35">
      <c r="B35" s="4" t="str">
        <v>人均拥有卡量=流通卡/流通户数</v>
      </c>
    </row>
    <row r="36">
      <c r="C36" s="3" t="str">
        <v>2018年</v>
      </c>
      <c r="D36" s="3" t="str">
        <v>2017年</v>
      </c>
      <c r="E36" s="3" t="str">
        <v>2016年</v>
      </c>
    </row>
    <row r="37">
      <c r="B37" t="str">
        <v>招行</v>
      </c>
      <c r="C37" s="6">
        <v>1.4527902283846263</v>
      </c>
      <c r="D37" s="6">
        <v>1.3303966259106206</v>
      </c>
      <c r="E37" s="6"/>
    </row>
    <row r="38">
      <c r="B38" t="str">
        <v>建行</v>
      </c>
      <c r="C38" s="6"/>
      <c r="D38" s="6"/>
      <c r="E38" s="6"/>
    </row>
    <row r="39">
      <c r="B39" t="str">
        <v>工行</v>
      </c>
      <c r="C39" s="6"/>
      <c r="D39" s="6"/>
      <c r="E39" s="6"/>
    </row>
    <row r="40">
      <c r="B40" t="str">
        <v>中信</v>
      </c>
      <c r="C40" s="6"/>
      <c r="D40" s="6"/>
      <c r="E40" s="6"/>
    </row>
    <row r="41">
      <c r="B41" t="str">
        <v>平安</v>
      </c>
      <c r="C41" s="6"/>
      <c r="D41" s="6"/>
      <c r="E41" s="6">
        <v>1.1259486935950542</v>
      </c>
    </row>
    <row r="42">
      <c r="B42" t="str">
        <v>浦发</v>
      </c>
      <c r="C42" s="6">
        <v>1.2785463471175809</v>
      </c>
      <c r="D42" s="6">
        <v>0.7943892434910398</v>
      </c>
      <c r="E42" s="6">
        <v>1.1170396552751245</v>
      </c>
    </row>
    <row r="43">
      <c r="B43" t="str">
        <v>民生</v>
      </c>
      <c r="C43" s="6"/>
      <c r="D43" s="6"/>
      <c r="E43" s="6"/>
    </row>
    <row r="44">
      <c r="B44" t="str">
        <v>光大</v>
      </c>
      <c r="C44" s="6"/>
      <c r="D44" s="6"/>
      <c r="E44" s="6"/>
    </row>
    <row r="45"/>
    <row r="46">
      <c r="B46" s="4" t="str">
        <v>单客户年收入</v>
      </c>
    </row>
    <row r="47">
      <c r="C47" s="3" t="str">
        <v>2018年</v>
      </c>
      <c r="D47" s="3" t="str">
        <v>2017年</v>
      </c>
      <c r="E47" s="3" t="str">
        <v>2016年</v>
      </c>
    </row>
    <row r="48">
      <c r="B48" t="str">
        <v>招行</v>
      </c>
      <c r="C48" s="1">
        <v>792.3411104390368</v>
      </c>
      <c r="D48" s="1">
        <v>842.2016785242619</v>
      </c>
      <c r="E48" s="1">
        <v>865.7640750670241</v>
      </c>
    </row>
    <row r="49">
      <c r="B49" t="str">
        <v>建行</v>
      </c>
      <c r="C49" s="1"/>
      <c r="D49" s="1"/>
      <c r="E49" s="1"/>
    </row>
    <row r="50">
      <c r="B50" t="str">
        <v>工行</v>
      </c>
      <c r="C50" s="1"/>
      <c r="D50" s="1"/>
      <c r="E50" s="1"/>
    </row>
    <row r="51">
      <c r="B51" t="str">
        <v>中信</v>
      </c>
      <c r="C51" s="1"/>
      <c r="D51" s="1"/>
      <c r="E51" s="1"/>
    </row>
    <row r="52">
      <c r="B52" t="str">
        <v>平安</v>
      </c>
      <c r="C52" s="1"/>
      <c r="D52" s="1"/>
      <c r="E52" s="1">
        <v>720.7660749586948</v>
      </c>
    </row>
    <row r="53">
      <c r="B53" t="str">
        <v>浦发</v>
      </c>
      <c r="C53" s="1">
        <v>1087.1032625370742</v>
      </c>
      <c r="D53" s="1">
        <v>1107.4009483517257</v>
      </c>
      <c r="E53" s="1">
        <v>662.977920098424</v>
      </c>
    </row>
    <row r="54">
      <c r="B54" t="str">
        <v>民生</v>
      </c>
      <c r="C54" s="1"/>
      <c r="D54" s="1"/>
      <c r="E54" s="1"/>
    </row>
    <row r="55">
      <c r="B55" t="str">
        <v>光大</v>
      </c>
      <c r="C55" s="1"/>
      <c r="D55" s="1"/>
      <c r="E55" s="1"/>
    </row>
    <row r="56"/>
    <row r="57">
      <c r="B57" s="4" t="str">
        <v>单卡年收入</v>
      </c>
    </row>
    <row r="58">
      <c r="C58" s="3" t="str">
        <v>2018年</v>
      </c>
      <c r="D58" s="3" t="str">
        <v>2017年</v>
      </c>
      <c r="E58" s="3" t="str">
        <v>2016年</v>
      </c>
    </row>
    <row r="59">
      <c r="B59" s="4" t="str">
        <v>招行</v>
      </c>
      <c r="C59" s="1">
        <v>545.3926485450344</v>
      </c>
      <c r="D59" s="1">
        <v>633.0455610918266</v>
      </c>
      <c r="E59" s="1"/>
    </row>
    <row r="60">
      <c r="B60" s="4" t="str">
        <v>建行</v>
      </c>
      <c r="C60" s="1">
        <v>387.853552060992</v>
      </c>
      <c r="D60" s="1">
        <v>393.1508498663833</v>
      </c>
      <c r="E60" s="1">
        <v>702.1405014884673</v>
      </c>
    </row>
    <row r="61">
      <c r="B61" s="4" t="str">
        <v>工行</v>
      </c>
      <c r="C61" s="1">
        <v>302.9428828254113</v>
      </c>
      <c r="D61" s="1">
        <v>250.77981904638662</v>
      </c>
      <c r="E61" s="1"/>
    </row>
    <row r="62">
      <c r="B62" s="4" t="str">
        <v>中信</v>
      </c>
      <c r="C62" s="1">
        <v>1143.8793025027999</v>
      </c>
      <c r="D62" s="1">
        <v>285.81957021828</v>
      </c>
      <c r="E62" s="1">
        <v>549.7533466736578</v>
      </c>
    </row>
    <row r="63">
      <c r="B63" s="4" t="str">
        <v>平安</v>
      </c>
      <c r="C63" s="1">
        <v>628.2976771543307</v>
      </c>
      <c r="D63" s="1">
        <v>629.9079196885107</v>
      </c>
      <c r="E63" s="1">
        <v>640.1411352566632</v>
      </c>
    </row>
    <row r="64">
      <c r="B64" s="4" t="str">
        <v>浦发</v>
      </c>
      <c r="C64" s="1">
        <v>850.2650412227092</v>
      </c>
      <c r="D64" s="1">
        <v>1394.0281259161038</v>
      </c>
      <c r="E64" s="1">
        <v>593.5133251246428</v>
      </c>
    </row>
    <row r="65">
      <c r="B65" s="4" t="str">
        <v>民生</v>
      </c>
      <c r="C65" s="1">
        <v>637.8184624269196</v>
      </c>
      <c r="D65" s="1">
        <v>578.5454912123673</v>
      </c>
      <c r="E65" s="1">
        <v>678.940706803068</v>
      </c>
    </row>
    <row r="66">
      <c r="B66" s="4" t="str">
        <v>光大</v>
      </c>
      <c r="C66" s="1">
        <v>286.2344760133031</v>
      </c>
      <c r="D66" s="1">
        <v>434.9738859045342</v>
      </c>
      <c r="E66" s="1">
        <v>404.7786836548223</v>
      </c>
    </row>
    <row r="67"/>
    <row r="68">
      <c r="B68" s="4" t="str">
        <v>卡均贷款</v>
      </c>
    </row>
    <row r="69">
      <c r="C69" t="str">
        <v>2018年</v>
      </c>
      <c r="D69" t="str">
        <v>2017年</v>
      </c>
      <c r="E69" t="str">
        <v>2016年</v>
      </c>
      <c r="F69" s="5">
        <v>2022</v>
      </c>
    </row>
    <row r="70">
      <c r="B70" s="4" t="str">
        <v>招行</v>
      </c>
      <c r="C70" s="1">
        <v>6824.851371933137</v>
      </c>
      <c r="D70" s="1">
        <v>7865.244456968657</v>
      </c>
      <c r="E70" s="1"/>
    </row>
    <row r="71">
      <c r="B71" s="4" t="str">
        <v>建行</v>
      </c>
      <c r="C71" s="1">
        <v>8942.73750686436</v>
      </c>
      <c r="D71" s="1">
        <v>8784.765734592724</v>
      </c>
      <c r="E71" s="1">
        <v>7861.75188689274</v>
      </c>
    </row>
    <row r="72">
      <c r="B72" s="4" t="str">
        <v>工行</v>
      </c>
      <c r="C72" s="1">
        <v>6914.657836644592</v>
      </c>
      <c r="D72" s="1">
        <v>6232.820512820513</v>
      </c>
      <c r="E72" s="1"/>
    </row>
    <row r="73">
      <c r="B73" s="4" t="str">
        <v>中信</v>
      </c>
      <c r="C73" s="1">
        <v>10986.93795865899</v>
      </c>
      <c r="D73" s="1">
        <v>11206.0704970053</v>
      </c>
      <c r="E73" s="1">
        <v>10580.856991007764</v>
      </c>
    </row>
    <row r="74">
      <c r="B74" s="4" t="str">
        <v>平安</v>
      </c>
      <c r="C74" s="1">
        <v>9186.62655279503</v>
      </c>
      <c r="D74" s="1">
        <v>7918.622848200313</v>
      </c>
      <c r="E74" s="1">
        <v>7071.947699962118</v>
      </c>
    </row>
    <row r="75">
      <c r="B75" s="4" t="str">
        <v>浦发</v>
      </c>
      <c r="C75" s="1">
        <v>11554.330784244712</v>
      </c>
      <c r="D75" s="1">
        <v>23087.389899770827</v>
      </c>
      <c r="E75" s="1">
        <v>15808.105049212194</v>
      </c>
    </row>
    <row r="76">
      <c r="B76" s="4" t="str">
        <v>民生</v>
      </c>
      <c r="C76" s="1">
        <v>13228.093615784546</v>
      </c>
      <c r="D76" s="1">
        <v>12649.699954739373</v>
      </c>
      <c r="E76" s="1">
        <v>12197.032791744892</v>
      </c>
    </row>
    <row r="77">
      <c r="B77" s="4" t="str">
        <v>光大</v>
      </c>
      <c r="C77" s="1">
        <v>11053.744894177229</v>
      </c>
      <c r="D77" s="1">
        <v>11154.953350727854</v>
      </c>
      <c r="E77" s="1">
        <v>9928.658896641611</v>
      </c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1" min="1" style="0" width="3"/>
    <col collapsed="false" customWidth="true" hidden="false" max="2" min="2" style="0" width="11"/>
    <col collapsed="false" customWidth="true" hidden="false" max="3" min="3" style="0" width="13"/>
    <col collapsed="false" customWidth="true" hidden="false" max="4" min="4" style="0" width="9"/>
    <col collapsed="false" customWidth="true" hidden="false" max="4" min="4" style="0" width="9"/>
    <col collapsed="false" customWidth="true" hidden="false" max="5" min="5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1"/>
    <col collapsed="false" customWidth="true" hidden="true" max="9" min="9" style="0" width="11"/>
    <col collapsed="false" customWidth="true" hidden="false" max="10" min="10" style="0" width="11"/>
    <col collapsed="false" customWidth="true" hidden="true" max="10" min="10" style="0" width="11"/>
    <col collapsed="false" customWidth="true" hidden="false" max="11" min="11" style="0" width="13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3"/>
    <col collapsed="false" customWidth="true" hidden="false" max="18" min="18" style="0" width="12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2"/>
  </cols>
  <sheetData>
    <row customHeight="true" ht="16" r="1">
      <c r="A1" s="10"/>
      <c r="B1" s="11" t="str">
        <v>2018年</v>
      </c>
      <c r="C1" s="10"/>
      <c r="D1" s="10"/>
      <c r="E1" s="10"/>
      <c r="F1" s="10"/>
      <c r="G1" s="10"/>
      <c r="H1" s="10"/>
      <c r="I1" s="10"/>
      <c r="J1" s="10"/>
      <c r="K1" s="10"/>
    </row>
    <row customHeight="true" ht="16" r="2">
      <c r="A2" s="11"/>
      <c r="B2" s="4" t="str">
        <v>交易额（亿元）</v>
      </c>
      <c r="C2" s="4" t="str">
        <v>利息收入（亿元）</v>
      </c>
      <c r="D2" s="4" t="str">
        <v>非利息收入（亿元）</v>
      </c>
      <c r="E2" s="4" t="str">
        <v>累计发卡（万张）</v>
      </c>
      <c r="F2" s="4" t="str">
        <v>流通卡（万张）</v>
      </c>
      <c r="G2" s="4" t="str">
        <v>流通户数（万户）</v>
      </c>
      <c r="H2" s="4" t="str">
        <v>贷款余额（亿元）</v>
      </c>
      <c r="I2" s="4" t="str">
        <v>流通卡年ARPU（元）</v>
      </c>
      <c r="J2" s="4" t="str">
        <v>户均贷款（元）</v>
      </c>
      <c r="K2" s="4" t="str">
        <v>月均交易额（元）</v>
      </c>
      <c r="L2" s="4" t="str">
        <v>不良贷款率</v>
      </c>
      <c r="M2" s="4" t="str">
        <v>分期率=卡均贷款/卡年交易额</v>
      </c>
      <c r="N2" s="4"/>
      <c r="O2" s="4" t="str">
        <v>人均拥有卡量</v>
      </c>
      <c r="P2" s="4" t="str">
        <v>单客户年收入</v>
      </c>
      <c r="Q2" s="4" t="str">
        <v>单发卡收入</v>
      </c>
      <c r="R2" s="4" t="str">
        <v>单流通卡年收入</v>
      </c>
      <c r="S2" s="4" t="str">
        <v>户均贷款</v>
      </c>
      <c r="T2" s="4" t="str">
        <v>卡均贷款</v>
      </c>
      <c r="U2" s="4" t="str">
        <v>利率</v>
      </c>
      <c r="V2" s="4"/>
    </row>
    <row customHeight="true" ht="16" r="3">
      <c r="A3" t="str">
        <v>招行</v>
      </c>
      <c r="B3" s="7">
        <v>37938.36</v>
      </c>
      <c r="C3" s="7">
        <v>459.79</v>
      </c>
      <c r="D3" s="7">
        <v>207.22</v>
      </c>
      <c r="E3" s="8">
        <f>F3/0.6</f>
      </c>
      <c r="F3" s="7">
        <v>8430.44</v>
      </c>
      <c r="G3" s="7">
        <v>5802.93</v>
      </c>
      <c r="H3" s="7">
        <v>5753.65</v>
      </c>
      <c r="I3" s="7">
        <v>262</v>
      </c>
      <c r="J3" s="7">
        <v>6824.851372</v>
      </c>
      <c r="K3" s="7">
        <v>3750</v>
      </c>
      <c r="L3" s="2">
        <v>0.0111</v>
      </c>
      <c r="M3" s="2">
        <f>H3/B3</f>
      </c>
      <c r="N3" s="2"/>
      <c r="O3" s="6">
        <f>F3/G3</f>
      </c>
      <c r="P3" s="1">
        <f>C3*10000/G3</f>
      </c>
      <c r="Q3" s="1">
        <f>(C3)*10000/E3</f>
      </c>
      <c r="R3" s="1">
        <f>C3*10000/F3</f>
      </c>
      <c r="S3" s="1">
        <f>10000*H3/G3</f>
      </c>
      <c r="T3" s="1">
        <f>10000*H3/F3</f>
      </c>
      <c r="U3">
        <f>C3/H3</f>
      </c>
      <c r="V3" s="9">
        <f>F3/E3</f>
      </c>
    </row>
    <row customHeight="true" ht="16" r="4">
      <c r="A4" t="str">
        <v>建行</v>
      </c>
      <c r="B4" s="7">
        <v>29927.36</v>
      </c>
      <c r="C4" s="8">
        <f>5669.42*6513.89/130719.79</f>
      </c>
      <c r="D4" s="8">
        <v>461.92</v>
      </c>
      <c r="E4" s="7">
        <v>12140</v>
      </c>
      <c r="F4" s="8">
        <f>E4*0.6</f>
      </c>
      <c r="G4" s="8"/>
      <c r="H4" s="7">
        <v>6513.89</v>
      </c>
      <c r="I4" s="7">
        <v>265</v>
      </c>
      <c r="J4" s="7">
        <v>8942.737507</v>
      </c>
      <c r="K4" s="7">
        <v>3424</v>
      </c>
      <c r="L4" s="2">
        <v>0.0098</v>
      </c>
      <c r="M4" s="2">
        <f>H4/B4</f>
      </c>
      <c r="N4" s="2"/>
      <c r="O4" s="6"/>
      <c r="P4" s="1"/>
      <c r="Q4" s="1">
        <f>(C4)*10000/E4</f>
      </c>
      <c r="R4" s="1">
        <f>C4*10000/F4</f>
      </c>
      <c r="S4" s="1"/>
      <c r="T4" s="1">
        <v>8942.73750686436</v>
      </c>
      <c r="U4">
        <f>C4/H4</f>
      </c>
      <c r="V4" s="9">
        <f>F4/E4</f>
      </c>
    </row>
    <row customHeight="true" ht="16" r="5">
      <c r="A5" t="str">
        <v>工行</v>
      </c>
      <c r="B5" s="7">
        <v>29000</v>
      </c>
      <c r="C5" s="8">
        <f>2143.17/4891776*626468</f>
      </c>
      <c r="D5" s="8">
        <v>437.19</v>
      </c>
      <c r="E5" s="7">
        <v>15100</v>
      </c>
      <c r="F5" s="8">
        <f>E5*0.6</f>
      </c>
      <c r="G5" s="8"/>
      <c r="H5" s="7">
        <v>6264.68</v>
      </c>
      <c r="I5" s="7"/>
      <c r="J5" s="7">
        <v>6914.657837</v>
      </c>
      <c r="K5" s="7">
        <v>2667</v>
      </c>
      <c r="L5" s="2"/>
      <c r="M5" s="2">
        <f>H5/B5</f>
      </c>
      <c r="N5" s="2"/>
      <c r="O5" s="6"/>
      <c r="P5" s="1"/>
      <c r="Q5" s="1">
        <f>(C5)*10000/E5</f>
      </c>
      <c r="R5" s="1">
        <f>C5*10000/F5</f>
      </c>
      <c r="S5" s="1"/>
      <c r="T5" s="1">
        <f>10000*H5/F5</f>
      </c>
      <c r="U5">
        <f>C5/H5</f>
      </c>
      <c r="V5" s="9">
        <f>F5/E5</f>
      </c>
    </row>
    <row customHeight="true" ht="16" r="6">
      <c r="A6" t="str">
        <v>中信</v>
      </c>
      <c r="B6" s="7">
        <v>20815.83</v>
      </c>
      <c r="C6" s="7">
        <v>460.23</v>
      </c>
      <c r="D6" s="7">
        <v>308.15</v>
      </c>
      <c r="E6" s="7">
        <v>6705.69</v>
      </c>
      <c r="F6" s="8">
        <v>4023.414</v>
      </c>
      <c r="G6" s="8"/>
      <c r="H6" s="7">
        <v>4420.5</v>
      </c>
      <c r="I6" s="7">
        <v>901</v>
      </c>
      <c r="J6" s="7">
        <v>9988.125417</v>
      </c>
      <c r="K6" s="7">
        <v>3916</v>
      </c>
      <c r="L6" s="2">
        <v>0.0185</v>
      </c>
      <c r="M6" s="2">
        <f>H6/B6</f>
      </c>
      <c r="N6" s="2"/>
      <c r="O6" s="6"/>
      <c r="P6" s="1"/>
      <c r="Q6" s="1">
        <f>(C6)*10000/E6</f>
      </c>
      <c r="R6" s="1">
        <f>C6*10000/F6</f>
      </c>
      <c r="S6" s="1"/>
      <c r="T6" s="1">
        <f>10000*H6/F6</f>
      </c>
      <c r="U6">
        <f>C6/H6</f>
      </c>
      <c r="V6" s="9">
        <f>F6/E6</f>
      </c>
    </row>
    <row customHeight="true" ht="16" r="7">
      <c r="A7" t="str">
        <v>平安</v>
      </c>
      <c r="B7" s="7">
        <v>27248.07</v>
      </c>
      <c r="C7" s="8">
        <f>789.26*473295/1154013</f>
      </c>
      <c r="D7" s="8">
        <v>252.66</v>
      </c>
      <c r="E7" s="8">
        <f>F7/0.6</f>
      </c>
      <c r="F7" s="7">
        <v>5152</v>
      </c>
      <c r="G7" s="8"/>
      <c r="H7" s="7">
        <v>4732.95</v>
      </c>
      <c r="I7" s="7">
        <v>602</v>
      </c>
      <c r="J7" s="7">
        <v>9186.626553</v>
      </c>
      <c r="K7" s="7">
        <v>4407</v>
      </c>
      <c r="L7" s="2">
        <v>0.0132</v>
      </c>
      <c r="M7" s="2">
        <f>H7/B7</f>
      </c>
      <c r="N7" s="2"/>
      <c r="O7" s="6"/>
      <c r="P7" s="1"/>
      <c r="Q7" s="1">
        <f>(C7)*10000/E7</f>
      </c>
      <c r="R7" s="1">
        <f>C7*10000/F7</f>
      </c>
      <c r="S7" s="1"/>
      <c r="T7" s="1">
        <f>10000*H7/F7</f>
      </c>
      <c r="U7">
        <f>C7/H7</f>
      </c>
      <c r="V7" s="9">
        <f>F7/E7</f>
      </c>
    </row>
    <row customHeight="true" ht="16" r="8">
      <c r="A8" t="str">
        <v>浦发</v>
      </c>
      <c r="B8" s="7">
        <v>18065.7</v>
      </c>
      <c r="C8" s="8">
        <f>552.78-D8</f>
      </c>
      <c r="D8" s="8">
        <v>233.9</v>
      </c>
      <c r="E8" s="7">
        <v>5650.54</v>
      </c>
      <c r="F8" s="7">
        <v>3750.36</v>
      </c>
      <c r="G8" s="7">
        <v>2933.3</v>
      </c>
      <c r="H8" s="7">
        <v>4333.29</v>
      </c>
      <c r="I8" s="7">
        <v>682</v>
      </c>
      <c r="J8" s="7">
        <v>11554.33078</v>
      </c>
      <c r="K8" s="7">
        <v>4014</v>
      </c>
      <c r="L8" s="2">
        <v>0.0181</v>
      </c>
      <c r="M8" s="2">
        <f>H8/B8</f>
      </c>
      <c r="N8" s="2"/>
      <c r="O8" s="6">
        <f>F8/G8</f>
      </c>
      <c r="P8" s="1">
        <f>C8*10000/G8</f>
      </c>
      <c r="Q8" s="1">
        <f>(C8)*10000/E8</f>
      </c>
      <c r="R8" s="1">
        <f>C8*10000/F8</f>
      </c>
      <c r="S8" s="1">
        <f>10000*H8/G8</f>
      </c>
      <c r="T8" s="1">
        <f>10000*H8/F8</f>
      </c>
      <c r="U8">
        <f>C8/H8</f>
      </c>
      <c r="V8" s="9">
        <f>F8/E8</f>
      </c>
    </row>
    <row customHeight="true" ht="16" r="9">
      <c r="A9" t="str">
        <v>民生</v>
      </c>
      <c r="B9" s="7">
        <v>22116.25</v>
      </c>
      <c r="C9" s="8">
        <f>1473.87*393249/3056746</f>
      </c>
      <c r="D9" s="7">
        <v>280.73</v>
      </c>
      <c r="E9" s="7">
        <v>4954.72</v>
      </c>
      <c r="F9" s="8">
        <f>E9*0.6</f>
      </c>
      <c r="G9" s="8"/>
      <c r="H9" s="7">
        <v>3932.49</v>
      </c>
      <c r="I9" s="7"/>
      <c r="J9" s="7">
        <v>13228.10252</v>
      </c>
      <c r="K9" s="7">
        <v>6200</v>
      </c>
      <c r="L9" s="2">
        <v>0.0215</v>
      </c>
      <c r="M9" s="2">
        <f>H9/B9</f>
      </c>
      <c r="N9" s="2"/>
      <c r="O9" s="6"/>
      <c r="P9" s="1"/>
      <c r="Q9" s="1">
        <f>(C9)*10000/E9</f>
      </c>
      <c r="R9" s="1">
        <f>C9*10000/F9</f>
      </c>
      <c r="S9" s="1"/>
      <c r="T9" s="1">
        <f>10000*H9/F9</f>
      </c>
      <c r="U9">
        <f>C9/H9</f>
      </c>
      <c r="V9" s="9">
        <f>F9/E9</f>
      </c>
    </row>
    <row customHeight="true" ht="16" r="10">
      <c r="A10" t="str">
        <v>光大</v>
      </c>
      <c r="B10" s="7">
        <v>22886.75</v>
      </c>
      <c r="C10" s="8">
        <f>390.39-D10</f>
      </c>
      <c r="D10" s="8">
        <v>286.44</v>
      </c>
      <c r="E10" s="7">
        <v>6052.73</v>
      </c>
      <c r="F10" s="8">
        <f>E10*0.6</f>
      </c>
      <c r="G10" s="8"/>
      <c r="H10" s="7">
        <v>4014.32</v>
      </c>
      <c r="I10" s="7"/>
      <c r="J10" s="7">
        <v>11053.73881</v>
      </c>
      <c r="K10" s="7">
        <v>5252</v>
      </c>
      <c r="M10" s="2">
        <f>H10/B10</f>
      </c>
      <c r="N10" s="2"/>
      <c r="O10" s="6"/>
      <c r="P10" s="1"/>
      <c r="Q10" s="1">
        <f>(C10)*10000/E10</f>
      </c>
      <c r="R10" s="1">
        <f>C10*10000/F10</f>
      </c>
      <c r="S10" s="1"/>
      <c r="T10" s="1">
        <f>10000*H10/F10</f>
      </c>
      <c r="U10">
        <f>C10/H10</f>
      </c>
      <c r="V10" s="9">
        <f>F10/E10</f>
      </c>
    </row>
    <row r="11">
      <c r="E11">
        <f>C6/H6</f>
      </c>
      <c r="K11">
        <f>B6/E6*10000/12</f>
      </c>
      <c r="N11">
        <f>K3*M3*12*F3</f>
      </c>
    </row>
    <row customHeight="true" ht="16" r="12">
      <c r="A12" s="10"/>
      <c r="B12" s="11" t="str">
        <v>2017年</v>
      </c>
      <c r="C12" s="10"/>
      <c r="D12" s="10"/>
      <c r="E12" s="10"/>
      <c r="F12" s="10"/>
      <c r="G12" s="10"/>
      <c r="H12" s="10"/>
      <c r="I12" s="10"/>
      <c r="J12" s="10"/>
      <c r="K12" s="10"/>
    </row>
    <row customHeight="true" ht="16" r="13">
      <c r="A13" s="11"/>
      <c r="B13" s="4" t="str">
        <v>交易额（亿元）</v>
      </c>
      <c r="C13" s="4" t="str">
        <v>利息收入（亿元）</v>
      </c>
      <c r="D13" s="4" t="str">
        <v>非利息收入（亿元）</v>
      </c>
      <c r="E13" s="4" t="str">
        <v>累计发卡（万张）</v>
      </c>
      <c r="F13" s="4" t="str">
        <v>流通卡（万张）</v>
      </c>
      <c r="G13" s="4" t="str">
        <v>流通户数（万户）</v>
      </c>
      <c r="H13" s="4" t="str">
        <v>贷款余额（亿元）</v>
      </c>
      <c r="I13" s="4" t="str">
        <v>流通卡年ARPU（元）</v>
      </c>
      <c r="J13" s="4" t="str">
        <v>户均贷款（元）</v>
      </c>
      <c r="K13" s="4" t="str">
        <v>月均交易额（元）</v>
      </c>
      <c r="L13" s="4" t="str">
        <v>不良贷款率</v>
      </c>
      <c r="M13" s="4" t="str">
        <v>用信率</v>
      </c>
      <c r="N13" s="4"/>
      <c r="O13" s="4" t="str">
        <v>人均拥有卡量</v>
      </c>
      <c r="P13" s="4" t="str">
        <v>单客户年收入</v>
      </c>
      <c r="Q13" s="4"/>
      <c r="R13" s="4" t="str">
        <v>单卡年收入</v>
      </c>
      <c r="S13" s="4" t="str">
        <v>户均贷款</v>
      </c>
      <c r="T13" s="4" t="str">
        <v>卡均贷款</v>
      </c>
      <c r="U13" s="4"/>
      <c r="V13" s="4"/>
    </row>
    <row customHeight="true" ht="16" r="14">
      <c r="A14" t="str">
        <v>招行</v>
      </c>
      <c r="B14" s="7">
        <v>29699.92</v>
      </c>
      <c r="C14" s="7">
        <v>395.38</v>
      </c>
      <c r="D14" s="7"/>
      <c r="E14" s="7"/>
      <c r="F14" s="7">
        <v>6245.68</v>
      </c>
      <c r="G14" s="7">
        <v>4694.6</v>
      </c>
      <c r="H14" s="7">
        <v>4912.38</v>
      </c>
      <c r="I14" s="7"/>
      <c r="J14" s="7"/>
      <c r="K14" s="7">
        <v>4630.51</v>
      </c>
      <c r="L14" s="2">
        <v>0.0111</v>
      </c>
      <c r="M14" s="2">
        <f>H14/B14</f>
      </c>
      <c r="N14" s="2"/>
      <c r="O14" s="6">
        <f>F14/G14</f>
      </c>
      <c r="P14" s="1">
        <f>C14*10000/G14</f>
      </c>
      <c r="Q14" s="1"/>
      <c r="R14" s="1">
        <f>C14*10000/F14</f>
      </c>
      <c r="S14" s="1">
        <f>10000*H14/G14</f>
      </c>
      <c r="T14" s="1">
        <f>10000*H14/F14</f>
      </c>
    </row>
    <row customHeight="true" ht="16" r="15">
      <c r="A15" t="str">
        <v>建行</v>
      </c>
      <c r="B15" s="7">
        <v>26189.12</v>
      </c>
      <c r="C15" s="7">
        <f>202473*5653/4537703</f>
      </c>
      <c r="D15" s="7"/>
      <c r="E15" s="7">
        <v>10693</v>
      </c>
      <c r="F15" s="7">
        <f>E15*0.6</f>
      </c>
      <c r="G15" s="7"/>
      <c r="H15" s="7">
        <v>5636.13</v>
      </c>
      <c r="I15" s="7"/>
      <c r="J15" s="7"/>
      <c r="K15" s="7">
        <f>B15*10000/12/F15</f>
      </c>
      <c r="L15" s="2">
        <v>0.0089</v>
      </c>
      <c r="M15" s="2">
        <f>H15/B15</f>
      </c>
      <c r="N15" s="2"/>
      <c r="O15" s="6"/>
      <c r="P15" s="1"/>
      <c r="Q15" s="1"/>
      <c r="R15" s="1">
        <f>C15*10000/F15</f>
      </c>
      <c r="S15" s="1"/>
      <c r="T15" s="1">
        <f>10000*H15/F15</f>
      </c>
    </row>
    <row customHeight="true" ht="16" r="16">
      <c r="A16" t="str">
        <v>工行</v>
      </c>
      <c r="B16" s="7">
        <v>24000</v>
      </c>
      <c r="C16" s="7">
        <f>572688*5347.76/14233448</f>
      </c>
      <c r="D16" s="7"/>
      <c r="E16" s="7">
        <v>14300</v>
      </c>
      <c r="F16" s="7">
        <f>E16*0.6</f>
      </c>
      <c r="G16" s="7"/>
      <c r="H16" s="7">
        <v>5347.76</v>
      </c>
      <c r="I16" s="7"/>
      <c r="J16" s="7"/>
      <c r="K16" s="7">
        <f>B16*10000/12/F16</f>
      </c>
      <c r="L16" s="2"/>
      <c r="M16" s="2">
        <f>H16/B16</f>
      </c>
      <c r="N16" s="2"/>
      <c r="O16" s="6"/>
      <c r="P16" s="1"/>
      <c r="Q16" s="1"/>
      <c r="R16" s="1">
        <f>C16*10000/F16</f>
      </c>
      <c r="S16" s="1"/>
      <c r="T16" s="1">
        <f>10000*H16/F16</f>
      </c>
    </row>
    <row customHeight="true" ht="16" r="17">
      <c r="A17" t="str">
        <v>中信</v>
      </c>
      <c r="B17" s="7">
        <v>14923</v>
      </c>
      <c r="C17" s="7">
        <v>85.01</v>
      </c>
      <c r="D17" s="7">
        <v>305.64</v>
      </c>
      <c r="E17" s="7">
        <v>4957.09</v>
      </c>
      <c r="F17" s="7">
        <f>E17*0.6</f>
      </c>
      <c r="G17" s="7"/>
      <c r="H17" s="7">
        <v>3332.97</v>
      </c>
      <c r="I17" s="7"/>
      <c r="J17" s="7"/>
      <c r="K17" s="7">
        <f>B17*10000/12/F17</f>
      </c>
      <c r="L17" s="2">
        <v>0.0124</v>
      </c>
      <c r="M17" s="2">
        <f>H17/B17</f>
      </c>
      <c r="N17" s="2"/>
      <c r="O17" s="6"/>
      <c r="P17" s="1"/>
      <c r="Q17" s="1"/>
      <c r="R17" s="1">
        <f>C17*10000/F17</f>
      </c>
      <c r="S17" s="1"/>
      <c r="T17" s="1">
        <f>10000*H17/F17</f>
      </c>
    </row>
    <row customHeight="true" ht="16" r="18">
      <c r="A18" t="str">
        <v>平安</v>
      </c>
      <c r="B18" s="7">
        <v>15472.02</v>
      </c>
      <c r="C18" s="7">
        <f>53278*3036/669762</f>
      </c>
      <c r="D18" s="7"/>
      <c r="F18" s="7">
        <v>3834</v>
      </c>
      <c r="G18" s="7"/>
      <c r="H18" s="7">
        <v>3036</v>
      </c>
      <c r="I18" s="7"/>
      <c r="J18" s="7"/>
      <c r="K18" s="7">
        <f>B18*10000/12/F18</f>
      </c>
      <c r="L18" s="2">
        <v>0.0118</v>
      </c>
      <c r="M18" s="2">
        <f>H18/B18</f>
      </c>
      <c r="N18" s="2"/>
      <c r="O18" s="6"/>
      <c r="P18" s="1"/>
      <c r="Q18" s="1"/>
      <c r="R18" s="1">
        <f>C18*10000/F18</f>
      </c>
      <c r="S18" s="1"/>
      <c r="T18" s="1">
        <f>10000*H18/F18</f>
      </c>
    </row>
    <row customHeight="true" ht="16" r="19">
      <c r="A19" t="str">
        <v>浦发</v>
      </c>
      <c r="B19" s="7">
        <v>11930.58</v>
      </c>
      <c r="C19" s="7">
        <f>69502*4180.78/1151067</f>
      </c>
      <c r="D19" s="7"/>
      <c r="E19" s="7"/>
      <c r="F19" s="7">
        <v>1810.85</v>
      </c>
      <c r="G19" s="7">
        <v>2279.55</v>
      </c>
      <c r="H19" s="7">
        <v>4180.78</v>
      </c>
      <c r="I19" s="7"/>
      <c r="J19" s="7"/>
      <c r="K19" s="7">
        <f>B19*10000/12/F19</f>
      </c>
      <c r="L19" s="2">
        <v>0.0132</v>
      </c>
      <c r="M19" s="2">
        <f>H19/B19</f>
      </c>
      <c r="N19" s="2"/>
      <c r="O19" s="6">
        <f>F19/G19</f>
      </c>
      <c r="P19" s="1">
        <f>C19*10000/G19</f>
      </c>
      <c r="Q19" s="1"/>
      <c r="R19" s="1">
        <f>C19*10000/F19</f>
      </c>
      <c r="S19" s="1">
        <f>10000*H19/G19</f>
      </c>
      <c r="T19" s="1">
        <f>10000*H19/F19</f>
      </c>
    </row>
    <row customHeight="true" ht="16" r="20">
      <c r="A20" t="str">
        <v>民生</v>
      </c>
      <c r="B20" s="7">
        <v>16482.61</v>
      </c>
      <c r="C20" s="7">
        <f>505.76*100*2940.19/1105827</f>
      </c>
      <c r="D20" s="7"/>
      <c r="E20" s="7">
        <v>3873.86</v>
      </c>
      <c r="F20" s="7">
        <f>E20*0.6</f>
      </c>
      <c r="G20" s="7"/>
      <c r="H20" s="7">
        <v>2940.19</v>
      </c>
      <c r="I20" s="7"/>
      <c r="J20" s="7"/>
      <c r="K20" s="7">
        <f>B20*10000/12/F20</f>
      </c>
      <c r="L20" s="2">
        <v>0.0207</v>
      </c>
      <c r="M20" s="2">
        <f>H20/B20</f>
      </c>
      <c r="N20" s="2"/>
      <c r="O20" s="6"/>
      <c r="P20" s="1"/>
      <c r="Q20" s="1"/>
      <c r="R20" s="1">
        <f>C20*10000/F20</f>
      </c>
      <c r="S20" s="1"/>
      <c r="T20" s="1">
        <f>10000*H20/F20</f>
      </c>
    </row>
    <row customHeight="true" ht="16" r="21">
      <c r="A21" t="str">
        <v>光大</v>
      </c>
      <c r="B21" s="7">
        <v>16742.34</v>
      </c>
      <c r="C21" s="7">
        <f>32365*3029.46/830004</f>
      </c>
      <c r="D21" s="7"/>
      <c r="E21" s="7">
        <v>4526.33</v>
      </c>
      <c r="F21" s="7">
        <f>E21*0.6</f>
      </c>
      <c r="G21" s="7"/>
      <c r="H21" s="7">
        <v>3029.46</v>
      </c>
      <c r="I21" s="7"/>
      <c r="J21" s="7"/>
      <c r="K21" s="7">
        <f>B21*10000/12/F21</f>
      </c>
      <c r="L21" s="2">
        <v>0.0109</v>
      </c>
      <c r="M21" s="2">
        <f>H21/B21</f>
      </c>
      <c r="N21" s="2"/>
      <c r="O21" s="6"/>
      <c r="P21" s="1"/>
      <c r="Q21" s="1"/>
      <c r="R21" s="1">
        <f>C21*10000/F21</f>
      </c>
      <c r="S21" s="1"/>
      <c r="T21" s="1">
        <f>10000*H21/F21</f>
      </c>
    </row>
    <row r="22"/>
    <row customHeight="true" ht="16" r="23">
      <c r="A23" s="10"/>
      <c r="B23" s="11" t="str">
        <v>2016年</v>
      </c>
      <c r="C23" s="10"/>
      <c r="D23" s="10"/>
      <c r="E23" s="10"/>
      <c r="F23" s="10"/>
      <c r="G23" s="10"/>
      <c r="H23" s="10"/>
      <c r="I23" s="10"/>
      <c r="J23" s="10"/>
      <c r="K23" s="10"/>
    </row>
    <row r="24">
      <c r="A24" s="11"/>
      <c r="B24" s="4" t="str">
        <v>交易额（亿元）</v>
      </c>
      <c r="C24" s="4" t="str">
        <v>利息收入（亿元）</v>
      </c>
      <c r="D24" s="4" t="str">
        <v>非利息收入（亿元）</v>
      </c>
      <c r="E24" s="4" t="str">
        <v>累计发卡（万张）</v>
      </c>
      <c r="F24" s="4" t="str">
        <v>流通卡（万张）</v>
      </c>
      <c r="G24" s="4" t="str">
        <v>流通户数（万户）</v>
      </c>
      <c r="H24" s="4" t="str">
        <v>贷款余额（亿元）</v>
      </c>
      <c r="I24" s="4" t="str">
        <v>流通卡年ARPU（元）</v>
      </c>
      <c r="J24" s="4" t="str">
        <v>户均贷款（元）</v>
      </c>
      <c r="K24" s="4" t="str">
        <v>月均交易额（元）</v>
      </c>
      <c r="L24" s="4" t="str">
        <v>不良贷款率</v>
      </c>
      <c r="M24" s="4" t="str">
        <v>用信率</v>
      </c>
      <c r="N24" s="4"/>
      <c r="O24" s="4" t="str">
        <v>人均拥有卡量</v>
      </c>
      <c r="P24" s="4" t="str">
        <v>单客户年收入</v>
      </c>
      <c r="Q24" s="4"/>
      <c r="R24" s="4" t="str">
        <v>单卡年收入</v>
      </c>
      <c r="S24" s="4" t="str">
        <v>户均贷款</v>
      </c>
      <c r="T24" s="4" t="str">
        <v>卡均贷款</v>
      </c>
      <c r="U24" s="4"/>
      <c r="V24" s="4"/>
    </row>
    <row customHeight="true" ht="16" r="25">
      <c r="A25" t="str">
        <v>招行</v>
      </c>
      <c r="B25" s="7">
        <v>22748</v>
      </c>
      <c r="C25" s="7">
        <v>322.93</v>
      </c>
      <c r="D25" s="7"/>
      <c r="E25" s="7"/>
      <c r="F25" s="7"/>
      <c r="G25" s="7">
        <v>3730</v>
      </c>
      <c r="H25" s="7"/>
      <c r="I25" s="7"/>
      <c r="J25" s="7"/>
      <c r="K25" s="7"/>
      <c r="L25" s="2">
        <v>0.014</v>
      </c>
      <c r="M25" s="2">
        <f>H25/B25</f>
      </c>
      <c r="N25" s="2"/>
      <c r="O25" s="6"/>
      <c r="P25" s="1">
        <f>C25*10000/G25</f>
      </c>
      <c r="Q25" s="1"/>
      <c r="R25" s="1"/>
      <c r="S25" s="1"/>
      <c r="T25" s="1">
        <v>0</v>
      </c>
    </row>
    <row customHeight="true" ht="16" r="26">
      <c r="A26" t="str">
        <v>建行</v>
      </c>
      <c r="B26" s="7">
        <v>23998.68</v>
      </c>
      <c r="C26" s="7">
        <f>169141*4437.33/1893844</f>
      </c>
      <c r="D26" s="7"/>
      <c r="E26" s="7">
        <v>9407</v>
      </c>
      <c r="F26" s="7">
        <f>E26*0.6</f>
      </c>
      <c r="G26" s="7"/>
      <c r="H26" s="7">
        <v>4437.33</v>
      </c>
      <c r="I26" s="7"/>
      <c r="J26" s="7"/>
      <c r="K26" s="7">
        <f>B26*10000/12/F26</f>
      </c>
      <c r="L26" s="2">
        <v>0.0098</v>
      </c>
      <c r="M26" s="2">
        <f>H26/B26</f>
      </c>
      <c r="N26" s="2"/>
      <c r="O26" s="6"/>
      <c r="P26" s="1"/>
      <c r="Q26" s="1"/>
      <c r="R26" s="1">
        <f>C26*10000/F26</f>
      </c>
      <c r="S26" s="1"/>
      <c r="T26" s="1">
        <f>10000*H26/F26</f>
      </c>
    </row>
    <row customHeight="true" ht="16" r="27">
      <c r="A27" t="str">
        <v>工行</v>
      </c>
      <c r="B27" s="7"/>
      <c r="C27" s="7"/>
      <c r="D27" s="7"/>
      <c r="E27" s="7">
        <v>12000</v>
      </c>
      <c r="F27" s="7">
        <f>E27*0.6</f>
      </c>
      <c r="G27" s="7"/>
      <c r="H27" s="7"/>
      <c r="I27" s="7"/>
      <c r="J27" s="7"/>
      <c r="K27" s="7"/>
      <c r="L27" s="2"/>
      <c r="M27" s="2"/>
      <c r="N27" s="2"/>
      <c r="O27" s="6"/>
      <c r="P27" s="1"/>
      <c r="Q27" s="1"/>
      <c r="R27" s="1"/>
      <c r="S27" s="1"/>
      <c r="T27" s="1">
        <v>0</v>
      </c>
    </row>
    <row customHeight="true" ht="16" r="28">
      <c r="A28" t="str">
        <v>中信</v>
      </c>
      <c r="B28" s="7">
        <v>10741.52</v>
      </c>
      <c r="C28" s="7">
        <v>123.3</v>
      </c>
      <c r="D28" s="7"/>
      <c r="E28" s="7">
        <v>3738.04</v>
      </c>
      <c r="F28" s="7">
        <f>E28*0.6</f>
      </c>
      <c r="G28" s="7"/>
      <c r="H28" s="7">
        <v>2373.1</v>
      </c>
      <c r="I28" s="7"/>
      <c r="J28" s="7"/>
      <c r="K28" s="7">
        <f>B28*10000/12/F28</f>
      </c>
      <c r="L28" s="2">
        <v>0.0148</v>
      </c>
      <c r="M28" s="2">
        <f>H28/B28</f>
      </c>
      <c r="N28" s="2"/>
      <c r="O28" s="6"/>
      <c r="P28" s="1"/>
      <c r="Q28" s="1"/>
      <c r="R28" s="1">
        <f>C28*10000/F28</f>
      </c>
      <c r="S28" s="1"/>
      <c r="T28" s="1">
        <f>10000*H28/F28</f>
      </c>
    </row>
    <row customHeight="true" ht="16" r="29">
      <c r="A29" t="str">
        <v>平安</v>
      </c>
      <c r="B29" s="7">
        <v>11210.62</v>
      </c>
      <c r="C29" s="7">
        <f>42753*1810.85/472313</f>
      </c>
      <c r="D29" s="7"/>
      <c r="E29" s="7"/>
      <c r="F29" s="7">
        <v>2560.61</v>
      </c>
      <c r="G29" s="7">
        <v>2274.18</v>
      </c>
      <c r="H29" s="7">
        <v>1810.85</v>
      </c>
      <c r="I29" s="7"/>
      <c r="J29" s="7"/>
      <c r="K29" s="7">
        <f>B29*10000/12/F29</f>
      </c>
      <c r="L29" s="2">
        <v>0.0143</v>
      </c>
      <c r="M29" s="2">
        <f>H29/B29</f>
      </c>
      <c r="N29" s="2"/>
      <c r="O29" s="6">
        <f>F29/G29</f>
      </c>
      <c r="P29" s="1">
        <f>C29*10000/G29</f>
      </c>
      <c r="Q29" s="1"/>
      <c r="R29" s="1">
        <f>C29*10000/F29</f>
      </c>
      <c r="S29" s="1">
        <f>10000*H29/G29</f>
      </c>
      <c r="T29" s="1">
        <f>10000*H29/F29</f>
      </c>
    </row>
    <row customHeight="true" ht="16" r="30">
      <c r="A30" t="str">
        <v>浦发</v>
      </c>
      <c r="B30" s="7">
        <v>6765.88</v>
      </c>
      <c r="C30" s="7">
        <f>36426*2667.76/970199</f>
      </c>
      <c r="D30" s="7"/>
      <c r="E30" s="7"/>
      <c r="F30" s="7">
        <v>1687.59</v>
      </c>
      <c r="G30" s="7">
        <v>1510.77</v>
      </c>
      <c r="H30" s="7">
        <v>2667.76</v>
      </c>
      <c r="I30" s="7"/>
      <c r="J30" s="7"/>
      <c r="K30" s="7">
        <f>B30*10000/12/F30</f>
      </c>
      <c r="L30" s="2">
        <v>0.0121</v>
      </c>
      <c r="M30" s="2">
        <f>H30/B30</f>
      </c>
      <c r="N30" s="2"/>
      <c r="O30" s="6">
        <f>F30/G30</f>
      </c>
      <c r="P30" s="1">
        <f>C30*10000/G30</f>
      </c>
      <c r="Q30" s="1"/>
      <c r="R30" s="1">
        <f>C30*10000/F30</f>
      </c>
      <c r="S30" s="1">
        <f>10000*H30/G30</f>
      </c>
      <c r="T30" s="1">
        <f>10000*H30/F30</f>
      </c>
    </row>
    <row customHeight="true" ht="16" r="31">
      <c r="A31" t="str">
        <v>民生</v>
      </c>
      <c r="B31" s="7">
        <v>12332.48</v>
      </c>
      <c r="C31" s="7">
        <f>44600*2073.72/801230</f>
      </c>
      <c r="D31" s="7"/>
      <c r="E31" s="7">
        <v>2833.64</v>
      </c>
      <c r="F31" s="7">
        <f>E31*0.6</f>
      </c>
      <c r="G31" s="7"/>
      <c r="H31" s="7">
        <v>2073.72</v>
      </c>
      <c r="I31" s="7"/>
      <c r="J31" s="7"/>
      <c r="K31" s="7">
        <f>B31*10000/12/F31</f>
      </c>
      <c r="L31" s="2">
        <v>0.025</v>
      </c>
      <c r="M31" s="2">
        <f>H31/B31</f>
      </c>
      <c r="N31" s="2"/>
      <c r="O31" s="6"/>
      <c r="P31" s="1"/>
      <c r="Q31" s="1"/>
      <c r="R31" s="1">
        <f>C31*10000/F31</f>
      </c>
      <c r="S31" s="1"/>
      <c r="T31" s="1">
        <f>10000*H31/F31</f>
      </c>
    </row>
    <row customHeight="true" ht="16" r="32">
      <c r="A32" t="str">
        <v>光大</v>
      </c>
      <c r="B32" s="7">
        <v>12773.87</v>
      </c>
      <c r="C32" s="7">
        <f>27035*2142.13/663131</f>
      </c>
      <c r="D32" s="7"/>
      <c r="E32" s="7">
        <v>3595.87</v>
      </c>
      <c r="F32" s="7">
        <f>E32*0.6</f>
      </c>
      <c r="G32" s="7"/>
      <c r="H32" s="7">
        <v>2142.13</v>
      </c>
      <c r="I32" s="7"/>
      <c r="J32" s="7"/>
      <c r="K32" s="7">
        <f>B32*10000/12/F32</f>
      </c>
      <c r="L32" s="2">
        <v>0.0082</v>
      </c>
      <c r="M32" s="2">
        <f>H32/B32</f>
      </c>
      <c r="N32" s="2"/>
      <c r="O32" s="6"/>
      <c r="P32" s="1"/>
      <c r="Q32" s="1"/>
      <c r="R32" s="1">
        <f>C32*10000/F32</f>
      </c>
      <c r="S32" s="1"/>
      <c r="T32" s="1">
        <f>10000*H32/F32</f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1" min="1" style="0" width="3"/>
    <col collapsed="false" customWidth="true" hidden="false" max="2" min="2" style="0" width="11"/>
    <col collapsed="false" customWidth="true" hidden="false" max="3" min="3" style="0" width="13"/>
    <col collapsed="false" customWidth="true" hidden="false" max="4" min="4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1"/>
    <col collapsed="false" customWidth="true" hidden="true" max="10" min="10" style="0" width="11"/>
    <col collapsed="false" customWidth="true" hidden="false" max="11" min="11" style="0" width="11"/>
    <col collapsed="false" customWidth="true" hidden="true" max="11" min="11" style="0" width="11"/>
    <col collapsed="false" customWidth="true" hidden="false" max="12" min="12" style="0" width="13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3"/>
    <col collapsed="false" customWidth="true" hidden="false" max="19" min="19" style="0" width="12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2"/>
  </cols>
  <sheetData>
    <row customHeight="true" ht="16" r="1">
      <c r="A1" s="10"/>
      <c r="B1" s="11" t="str">
        <v>2018年</v>
      </c>
      <c r="C1" s="10"/>
      <c r="D1" s="10"/>
      <c r="E1" s="13"/>
      <c r="F1" s="10"/>
      <c r="G1" s="10"/>
      <c r="H1" s="10"/>
      <c r="I1" s="10"/>
      <c r="J1" s="10"/>
      <c r="K1" s="10"/>
      <c r="L1" s="10"/>
      <c r="M1" s="12"/>
      <c r="N1" s="12"/>
      <c r="O1" s="12"/>
      <c r="P1" s="12"/>
    </row>
    <row customHeight="true" ht="16" r="2">
      <c r="A2" s="11"/>
      <c r="B2" s="4" t="str">
        <v>交易额（亿元）</v>
      </c>
      <c r="C2" s="4" t="str">
        <v>利息收入（亿元）</v>
      </c>
      <c r="D2" s="4" t="str">
        <v>非利息收入（亿元）</v>
      </c>
      <c r="E2" s="14"/>
      <c r="F2" s="4" t="str">
        <v>累计发卡（万张）</v>
      </c>
      <c r="G2" s="4" t="str">
        <v>流通卡（万张）</v>
      </c>
      <c r="H2" s="4" t="str">
        <v>流通户数（万户）</v>
      </c>
      <c r="I2" s="4" t="str">
        <v>贷款余额（亿元）</v>
      </c>
      <c r="J2" s="4" t="str">
        <v>流通卡年ARPU（元）</v>
      </c>
      <c r="K2" s="4" t="str">
        <v>户均贷款（元）</v>
      </c>
      <c r="L2" s="4" t="str">
        <v>月均交易额（元）</v>
      </c>
      <c r="M2" s="4" t="str">
        <v>不良贷款率</v>
      </c>
      <c r="N2" s="4" t="str">
        <v>分期率=卡均贷款/卡年交易额</v>
      </c>
      <c r="O2" s="4"/>
      <c r="P2" s="4" t="str">
        <v>人均拥有卡量</v>
      </c>
      <c r="Q2" s="4" t="str">
        <v>单客户年收入</v>
      </c>
      <c r="R2" s="4" t="str">
        <v>单发卡收入</v>
      </c>
      <c r="S2" s="4" t="str">
        <v>单流通卡年收入</v>
      </c>
      <c r="T2" s="4" t="str">
        <v>户均贷款</v>
      </c>
      <c r="U2" s="4" t="str">
        <v>卡均贷款</v>
      </c>
      <c r="V2" s="4" t="str">
        <v>利率</v>
      </c>
      <c r="W2" s="4"/>
    </row>
    <row customHeight="true" ht="16" r="3">
      <c r="A3" s="12" t="str">
        <v>招行</v>
      </c>
      <c r="B3" s="7">
        <v>37938.36</v>
      </c>
      <c r="C3" s="7">
        <v>459.79</v>
      </c>
      <c r="D3" s="7">
        <v>207.22</v>
      </c>
      <c r="E3" s="13">
        <f>D3/B3</f>
      </c>
      <c r="F3" s="8">
        <f>G3/0.6</f>
      </c>
      <c r="G3" s="7">
        <v>8430.44</v>
      </c>
      <c r="H3" s="7">
        <v>5802.93</v>
      </c>
      <c r="I3" s="7">
        <v>5753.65</v>
      </c>
      <c r="J3" s="7">
        <v>262</v>
      </c>
      <c r="K3" s="7">
        <v>6824.851372</v>
      </c>
      <c r="L3" s="7">
        <v>3750</v>
      </c>
      <c r="M3" s="2">
        <v>0.0111</v>
      </c>
      <c r="N3" s="2">
        <f>I3/B3</f>
      </c>
      <c r="O3" s="2"/>
      <c r="P3" s="6">
        <f>G3/H3</f>
      </c>
      <c r="Q3" s="1">
        <f>C3*10000/H3</f>
      </c>
      <c r="R3" s="1">
        <f>(C3)*10000/F3</f>
      </c>
      <c r="S3" s="1">
        <f>C3*10000/G3</f>
      </c>
      <c r="T3" s="1">
        <f>10000*I3/H3</f>
      </c>
      <c r="U3" s="1">
        <f>10000*I3/G3</f>
      </c>
      <c r="V3">
        <f>C3/I3</f>
      </c>
      <c r="W3" s="9">
        <f>G3/F3</f>
      </c>
    </row>
    <row customHeight="true" ht="16" r="4">
      <c r="A4" s="12" t="str">
        <v>建行</v>
      </c>
      <c r="B4" s="7">
        <v>29927.36</v>
      </c>
      <c r="C4" s="8">
        <f>5669.42*6513.89/130719.79</f>
      </c>
      <c r="D4" s="8">
        <v>461.92</v>
      </c>
      <c r="E4" s="13">
        <f>D4/B4</f>
      </c>
      <c r="F4" s="7">
        <v>12140</v>
      </c>
      <c r="G4" s="8">
        <f>F4*0.6</f>
      </c>
      <c r="H4" s="8"/>
      <c r="I4" s="7">
        <v>6513.89</v>
      </c>
      <c r="J4" s="7">
        <v>265</v>
      </c>
      <c r="K4" s="7">
        <v>8942.737507</v>
      </c>
      <c r="L4" s="7">
        <v>3424</v>
      </c>
      <c r="M4" s="2">
        <v>0.0098</v>
      </c>
      <c r="N4" s="2">
        <f>I4/B4</f>
      </c>
      <c r="O4" s="2"/>
      <c r="P4" s="6"/>
      <c r="Q4" s="1"/>
      <c r="R4" s="1">
        <f>(C4)*10000/F4</f>
      </c>
      <c r="S4" s="1">
        <f>C4*10000/G4</f>
      </c>
      <c r="T4" s="1"/>
      <c r="U4" s="1">
        <f>10000*I4/G4</f>
      </c>
      <c r="V4">
        <f>C4/I4</f>
      </c>
      <c r="W4" s="9">
        <f>G4/F4</f>
      </c>
    </row>
    <row customHeight="true" ht="16" r="5">
      <c r="A5" s="12" t="str">
        <v>工行</v>
      </c>
      <c r="B5" s="7">
        <v>29000</v>
      </c>
      <c r="C5" s="8">
        <f>2143.17/4891776*626468</f>
      </c>
      <c r="D5" s="8">
        <v>437.19</v>
      </c>
      <c r="E5" s="13">
        <f>D5/B5</f>
      </c>
      <c r="F5" s="7">
        <v>15100</v>
      </c>
      <c r="G5" s="8">
        <f>F5*0.6</f>
      </c>
      <c r="H5" s="8"/>
      <c r="I5" s="7">
        <v>6264.68</v>
      </c>
      <c r="J5" s="7"/>
      <c r="K5" s="7">
        <v>6914.657837</v>
      </c>
      <c r="L5" s="7">
        <v>2667</v>
      </c>
      <c r="M5" s="2"/>
      <c r="N5" s="2">
        <f>I5/B5</f>
      </c>
      <c r="O5" s="2"/>
      <c r="P5" s="6"/>
      <c r="Q5" s="1"/>
      <c r="R5" s="1">
        <f>(C5)*10000/F5</f>
      </c>
      <c r="S5" s="1">
        <f>C5*10000/G5</f>
      </c>
      <c r="T5" s="1"/>
      <c r="U5" s="1">
        <f>10000*I5/G5</f>
      </c>
      <c r="V5">
        <f>C5/I5</f>
      </c>
      <c r="W5" s="9">
        <f>G5/F5</f>
      </c>
    </row>
    <row customHeight="true" ht="16" r="6">
      <c r="A6" s="12" t="str">
        <v>中信</v>
      </c>
      <c r="B6" s="7">
        <v>20815.83</v>
      </c>
      <c r="C6" s="7">
        <v>460.23</v>
      </c>
      <c r="D6" s="7">
        <v>308.15</v>
      </c>
      <c r="E6" s="13">
        <f>D6/B6</f>
      </c>
      <c r="F6" s="7">
        <v>6705.69</v>
      </c>
      <c r="G6" s="8">
        <f>F6*0.6</f>
      </c>
      <c r="H6" s="8"/>
      <c r="I6" s="7">
        <v>4420.5</v>
      </c>
      <c r="J6" s="7">
        <v>901</v>
      </c>
      <c r="K6" s="7">
        <v>9988.125417</v>
      </c>
      <c r="L6" s="7">
        <v>3916</v>
      </c>
      <c r="M6" s="2">
        <v>0.0185</v>
      </c>
      <c r="N6" s="2">
        <f>I6/B6</f>
      </c>
      <c r="O6" s="2"/>
      <c r="P6" s="6"/>
      <c r="Q6" s="1"/>
      <c r="R6" s="1">
        <f>(C6)*10000/F6</f>
      </c>
      <c r="S6" s="1">
        <f>C6*10000/G6</f>
      </c>
      <c r="T6" s="1"/>
      <c r="U6" s="1">
        <f>10000*I6/G6</f>
      </c>
      <c r="V6">
        <f>C6/I6</f>
      </c>
      <c r="W6" s="9">
        <f>G6/F6</f>
      </c>
    </row>
    <row customHeight="true" ht="16" r="7">
      <c r="A7" s="12" t="str">
        <v>平安</v>
      </c>
      <c r="B7" s="7">
        <v>27248.07</v>
      </c>
      <c r="C7" s="8">
        <f>789.26*473295/1154013</f>
      </c>
      <c r="D7" s="8">
        <v>252.66</v>
      </c>
      <c r="E7" s="13">
        <f>D7/B7</f>
      </c>
      <c r="F7" s="8">
        <f>G7/0.6</f>
      </c>
      <c r="G7" s="7">
        <v>5152</v>
      </c>
      <c r="H7" s="8"/>
      <c r="I7" s="7">
        <v>4732.95</v>
      </c>
      <c r="J7" s="7">
        <v>602</v>
      </c>
      <c r="K7" s="7">
        <v>9186.626553</v>
      </c>
      <c r="L7" s="7">
        <v>4407</v>
      </c>
      <c r="M7" s="2">
        <v>0.0132</v>
      </c>
      <c r="N7" s="2">
        <f>I7/B7</f>
      </c>
      <c r="O7" s="2"/>
      <c r="P7" s="6"/>
      <c r="Q7" s="1"/>
      <c r="R7" s="1">
        <f>(C7)*10000/F7</f>
      </c>
      <c r="S7" s="1">
        <f>C7*10000/G7</f>
      </c>
      <c r="T7" s="1"/>
      <c r="U7" s="1">
        <f>10000*I7/G7</f>
      </c>
      <c r="V7">
        <f>C7/I7</f>
      </c>
      <c r="W7" s="9">
        <f>G7/F7</f>
      </c>
    </row>
    <row customHeight="true" ht="16" r="8">
      <c r="A8" s="12" t="str">
        <v>浦发</v>
      </c>
      <c r="B8" s="7">
        <v>18065.7</v>
      </c>
      <c r="C8" s="8">
        <f>552.78-D8</f>
      </c>
      <c r="D8" s="8">
        <v>233.9</v>
      </c>
      <c r="E8" s="13">
        <f>D8/B8</f>
      </c>
      <c r="F8" s="7">
        <v>5650.54</v>
      </c>
      <c r="G8" s="7">
        <v>3750.36</v>
      </c>
      <c r="H8" s="7">
        <v>2933.3</v>
      </c>
      <c r="I8" s="7">
        <v>4333.29</v>
      </c>
      <c r="J8" s="7">
        <v>682</v>
      </c>
      <c r="K8" s="7">
        <v>11554.33078</v>
      </c>
      <c r="L8" s="7">
        <v>4014</v>
      </c>
      <c r="M8" s="2">
        <v>0.0181</v>
      </c>
      <c r="N8" s="2">
        <f>I8/B8</f>
      </c>
      <c r="O8" s="2"/>
      <c r="P8" s="6">
        <f>G8/H8</f>
      </c>
      <c r="Q8" s="1">
        <f>C8*10000/H8</f>
      </c>
      <c r="R8" s="1">
        <f>(C8)*10000/F8</f>
      </c>
      <c r="S8" s="1">
        <f>C8*10000/G8</f>
      </c>
      <c r="T8" s="1">
        <f>10000*I8/H8</f>
      </c>
      <c r="U8" s="1">
        <f>10000*I8/G8</f>
      </c>
      <c r="V8">
        <f>C8/I8</f>
      </c>
      <c r="W8" s="9">
        <f>G8/F8</f>
      </c>
    </row>
    <row customHeight="true" ht="16" r="9">
      <c r="A9" s="12" t="str">
        <v>民生</v>
      </c>
      <c r="B9" s="7">
        <v>22116.25</v>
      </c>
      <c r="C9" s="8">
        <f>1473.87*393249/3056746</f>
      </c>
      <c r="D9" s="7">
        <v>280.73</v>
      </c>
      <c r="E9" s="13">
        <f>D9/B9</f>
      </c>
      <c r="F9" s="7">
        <v>4954.72</v>
      </c>
      <c r="G9" s="8">
        <f>F9*0.6</f>
      </c>
      <c r="H9" s="8"/>
      <c r="I9" s="7">
        <v>3932.49</v>
      </c>
      <c r="J9" s="7"/>
      <c r="K9" s="7">
        <v>13228.10252</v>
      </c>
      <c r="L9" s="7">
        <v>6200</v>
      </c>
      <c r="M9" s="2">
        <v>0.0215</v>
      </c>
      <c r="N9" s="2">
        <f>I9/B9</f>
      </c>
      <c r="O9" s="2"/>
      <c r="P9" s="6"/>
      <c r="Q9" s="1"/>
      <c r="R9" s="1">
        <f>(C9)*10000/F9</f>
      </c>
      <c r="S9" s="1">
        <f>C9*10000/G9</f>
      </c>
      <c r="T9" s="1"/>
      <c r="U9" s="1">
        <f>10000*I9/G9</f>
      </c>
      <c r="V9">
        <f>C9/I9</f>
      </c>
      <c r="W9" s="9">
        <f>G9/F9</f>
      </c>
    </row>
    <row customHeight="true" ht="16" r="10">
      <c r="A10" s="12" t="str">
        <v>光大</v>
      </c>
      <c r="B10" s="7">
        <v>22886.75</v>
      </c>
      <c r="C10" s="8">
        <f>390.39-D10</f>
      </c>
      <c r="D10" s="8">
        <v>286.44</v>
      </c>
      <c r="E10" s="13">
        <f>D10/B10</f>
      </c>
      <c r="F10" s="7">
        <v>6052.73</v>
      </c>
      <c r="G10" s="8">
        <f>F10*0.6</f>
      </c>
      <c r="H10" s="8"/>
      <c r="I10" s="7">
        <v>4014.32</v>
      </c>
      <c r="J10" s="7"/>
      <c r="K10" s="7">
        <v>11053.73881</v>
      </c>
      <c r="L10" s="7">
        <v>5252</v>
      </c>
      <c r="M10" s="12"/>
      <c r="N10" s="2">
        <f>I10/B10</f>
      </c>
      <c r="O10" s="2"/>
      <c r="P10" s="6"/>
      <c r="Q10" s="1"/>
      <c r="R10" s="1">
        <f>(C10)*10000/F10</f>
      </c>
      <c r="S10" s="1">
        <f>C10*10000/G10</f>
      </c>
      <c r="T10" s="1"/>
      <c r="U10" s="1">
        <f>10000*I10/G10</f>
      </c>
      <c r="V10">
        <f>C10/I10</f>
      </c>
      <c r="W10" s="9">
        <f>G10/F10</f>
      </c>
    </row>
    <row r="11">
      <c r="A11" s="12"/>
      <c r="B11" s="12"/>
      <c r="C11" s="12"/>
      <c r="D11" s="12"/>
      <c r="E11" s="2"/>
      <c r="F11" s="12">
        <f>C6/I6</f>
      </c>
      <c r="G11" s="12"/>
      <c r="H11" s="12"/>
      <c r="I11" s="12"/>
      <c r="J11" s="12"/>
      <c r="K11" s="12"/>
      <c r="L11" s="12">
        <f>B6/F6*10000/12</f>
      </c>
      <c r="M11" s="12"/>
      <c r="N11" s="12"/>
      <c r="O11" s="12">
        <f>L3*N3*12*G3</f>
      </c>
      <c r="P11" s="12"/>
    </row>
    <row r="12">
      <c r="A12" s="12" t="str">
        <v>平均</v>
      </c>
      <c r="B12" s="12">
        <f>AVERAGE(B3:B10)</f>
      </c>
      <c r="C12" s="12">
        <f>AVERAGE(C3:C10)</f>
      </c>
      <c r="D12" s="12">
        <f>AVERAGE(D3:D10)</f>
      </c>
      <c r="E12" s="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>
      <c r="A13" s="12"/>
      <c r="B13" s="12" t="str">
        <v>营销费用</v>
      </c>
      <c r="C13" s="12">
        <f>B12*0.2%*50%</f>
      </c>
      <c r="D13" t="str">
        <v>提升比例</v>
      </c>
      <c r="E13" s="2">
        <f>C13/D12</f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>
      <c r="A14" s="12"/>
      <c r="B14" s="12"/>
      <c r="C14" s="12"/>
      <c r="D14" s="12"/>
      <c r="E14" s="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>
      <c r="A15" s="12"/>
      <c r="B15" s="12"/>
      <c r="C15" s="12"/>
      <c r="D15" s="12"/>
      <c r="E15" s="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>
      <c r="A16" s="12"/>
      <c r="B16" s="12"/>
      <c r="C16" s="12"/>
      <c r="D16" s="12"/>
      <c r="E16" s="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customHeight="true" ht="16" r="17">
      <c r="A17" s="10"/>
      <c r="B17" s="11" t="str">
        <v>2017年</v>
      </c>
      <c r="C17" s="10"/>
      <c r="D17" s="10"/>
      <c r="E17" s="13"/>
      <c r="F17" s="10"/>
      <c r="G17" s="10"/>
      <c r="H17" s="10"/>
      <c r="I17" s="10"/>
      <c r="J17" s="10"/>
      <c r="K17" s="10"/>
      <c r="L17" s="10"/>
      <c r="M17" s="12"/>
      <c r="N17" s="12"/>
      <c r="O17" s="12"/>
      <c r="P17" s="12"/>
    </row>
    <row customHeight="true" ht="16" r="18">
      <c r="A18" s="11"/>
      <c r="B18" s="4" t="str">
        <v>交易额（亿元）</v>
      </c>
      <c r="C18" s="4" t="str">
        <v>利息收入（亿元）</v>
      </c>
      <c r="D18" s="4" t="str">
        <v>非利息收入（亿元）</v>
      </c>
      <c r="E18" s="14"/>
      <c r="F18" s="4" t="str">
        <v>累计发卡（万张）</v>
      </c>
      <c r="G18" s="4" t="str">
        <v>流通卡（万张）</v>
      </c>
      <c r="H18" s="4" t="str">
        <v>流通户数（万户）</v>
      </c>
      <c r="I18" s="4" t="str">
        <v>贷款余额（亿元）</v>
      </c>
      <c r="J18" s="4" t="str">
        <v>流通卡年ARPU（元）</v>
      </c>
      <c r="K18" s="4" t="str">
        <v>户均贷款（元）</v>
      </c>
      <c r="L18" s="4" t="str">
        <v>月均交易额（元）</v>
      </c>
      <c r="M18" s="4" t="str">
        <v>不良贷款率</v>
      </c>
      <c r="N18" s="4" t="str">
        <v>用信率</v>
      </c>
      <c r="O18" s="4"/>
      <c r="P18" s="4" t="str">
        <v>人均拥有卡量</v>
      </c>
      <c r="Q18" s="4" t="str">
        <v>单客户年收入</v>
      </c>
      <c r="R18" s="4"/>
      <c r="S18" s="4" t="str">
        <v>单卡年收入</v>
      </c>
      <c r="T18" s="4" t="str">
        <v>户均贷款</v>
      </c>
      <c r="U18" s="4" t="str">
        <v>卡均贷款</v>
      </c>
      <c r="V18" s="4"/>
      <c r="W18" s="4"/>
    </row>
    <row customHeight="true" ht="16" r="19">
      <c r="A19" s="12" t="str">
        <v>招行</v>
      </c>
      <c r="B19" s="7">
        <v>29699.92</v>
      </c>
      <c r="C19" s="7">
        <v>395.38</v>
      </c>
      <c r="D19" s="7"/>
      <c r="E19" s="13"/>
      <c r="F19" s="7"/>
      <c r="G19" s="7">
        <v>6245.68</v>
      </c>
      <c r="H19" s="7">
        <v>4694.6</v>
      </c>
      <c r="I19" s="7">
        <v>4912.38</v>
      </c>
      <c r="J19" s="7"/>
      <c r="K19" s="7"/>
      <c r="L19" s="7">
        <v>4630.51</v>
      </c>
      <c r="M19" s="2">
        <v>0.0111</v>
      </c>
      <c r="N19" s="2">
        <f>I19/B19</f>
      </c>
      <c r="O19" s="2"/>
      <c r="P19" s="6">
        <f>G19/H19</f>
      </c>
      <c r="Q19" s="1">
        <f>C19*10000/H19</f>
      </c>
      <c r="R19" s="1"/>
      <c r="S19" s="1">
        <f>C19*10000/G19</f>
      </c>
      <c r="T19" s="1">
        <f>10000*I19/H19</f>
      </c>
      <c r="U19" s="1">
        <f>10000*I19/G19</f>
      </c>
    </row>
    <row customHeight="true" ht="16" r="20">
      <c r="A20" s="12" t="str">
        <v>建行</v>
      </c>
      <c r="B20" s="7">
        <v>26189.12</v>
      </c>
      <c r="C20" s="7">
        <f>202473*5653/4537703</f>
      </c>
      <c r="D20" s="7"/>
      <c r="E20" s="13"/>
      <c r="F20" s="7">
        <v>10693</v>
      </c>
      <c r="G20" s="7">
        <f>F20*0.6</f>
      </c>
      <c r="H20" s="7"/>
      <c r="I20" s="7">
        <v>5636.13</v>
      </c>
      <c r="J20" s="7"/>
      <c r="K20" s="7"/>
      <c r="L20" s="7">
        <f>B20*10000/12/G20</f>
      </c>
      <c r="M20" s="2">
        <v>0.0089</v>
      </c>
      <c r="N20" s="2">
        <f>I20/B20</f>
      </c>
      <c r="O20" s="2"/>
      <c r="P20" s="6"/>
      <c r="Q20" s="1"/>
      <c r="R20" s="1"/>
      <c r="S20" s="1">
        <f>C20*10000/G20</f>
      </c>
      <c r="T20" s="1"/>
      <c r="U20" s="1">
        <f>10000*I20/G20</f>
      </c>
    </row>
    <row customHeight="true" ht="16" r="21">
      <c r="A21" s="12" t="str">
        <v>工行</v>
      </c>
      <c r="B21" s="7">
        <v>24000</v>
      </c>
      <c r="C21" s="7">
        <f>572688*5347.76/14233448</f>
      </c>
      <c r="D21" s="7"/>
      <c r="E21" s="13"/>
      <c r="F21" s="7">
        <v>14300</v>
      </c>
      <c r="G21" s="7">
        <f>F21*0.6</f>
      </c>
      <c r="H21" s="7"/>
      <c r="I21" s="7">
        <v>5347.76</v>
      </c>
      <c r="J21" s="7"/>
      <c r="K21" s="7"/>
      <c r="L21" s="7">
        <f>B21*10000/12/G21</f>
      </c>
      <c r="M21" s="2"/>
      <c r="N21" s="2">
        <f>I21/B21</f>
      </c>
      <c r="O21" s="2"/>
      <c r="P21" s="6"/>
      <c r="Q21" s="1"/>
      <c r="R21" s="1"/>
      <c r="S21" s="1">
        <f>C21*10000/G21</f>
      </c>
      <c r="T21" s="1"/>
      <c r="U21" s="1">
        <f>10000*I21/G21</f>
      </c>
    </row>
    <row customHeight="true" ht="16" r="22">
      <c r="A22" s="12" t="str">
        <v>中信</v>
      </c>
      <c r="B22" s="7">
        <v>14923</v>
      </c>
      <c r="C22" s="7">
        <v>85.01</v>
      </c>
      <c r="D22" s="7">
        <v>305.64</v>
      </c>
      <c r="E22" s="13"/>
      <c r="F22" s="7">
        <v>4957.09</v>
      </c>
      <c r="G22" s="7">
        <f>F22*0.6</f>
      </c>
      <c r="H22" s="7"/>
      <c r="I22" s="7">
        <v>3332.97</v>
      </c>
      <c r="J22" s="7"/>
      <c r="K22" s="7"/>
      <c r="L22" s="7">
        <f>B22*10000/12/G22</f>
      </c>
      <c r="M22" s="2">
        <v>0.0124</v>
      </c>
      <c r="N22" s="2">
        <f>I22/B22</f>
      </c>
      <c r="O22" s="2"/>
      <c r="P22" s="6"/>
      <c r="Q22" s="1"/>
      <c r="R22" s="1"/>
      <c r="S22" s="1">
        <f>C22*10000/G22</f>
      </c>
      <c r="T22" s="1"/>
      <c r="U22" s="1">
        <f>10000*I22/G22</f>
      </c>
    </row>
    <row customHeight="true" ht="16" r="23">
      <c r="A23" s="12" t="str">
        <v>平安</v>
      </c>
      <c r="B23" s="7">
        <v>15472.02</v>
      </c>
      <c r="C23" s="7">
        <f>53278*3036/669762</f>
      </c>
      <c r="D23" s="7"/>
      <c r="E23" s="13"/>
      <c r="F23" s="12"/>
      <c r="G23" s="7">
        <v>3834</v>
      </c>
      <c r="H23" s="7"/>
      <c r="I23" s="7">
        <v>3036</v>
      </c>
      <c r="J23" s="7"/>
      <c r="K23" s="7"/>
      <c r="L23" s="7">
        <f>B23*10000/12/G23</f>
      </c>
      <c r="M23" s="2">
        <v>0.0118</v>
      </c>
      <c r="N23" s="2">
        <f>I23/B23</f>
      </c>
      <c r="O23" s="2"/>
      <c r="P23" s="6"/>
      <c r="Q23" s="1"/>
      <c r="R23" s="1"/>
      <c r="S23" s="1">
        <f>C23*10000/G23</f>
      </c>
      <c r="T23" s="1"/>
      <c r="U23" s="1">
        <f>10000*I23/G23</f>
      </c>
    </row>
    <row customHeight="true" ht="16" r="24">
      <c r="A24" s="12" t="str">
        <v>浦发</v>
      </c>
      <c r="B24" s="7">
        <v>11930.58</v>
      </c>
      <c r="C24" s="7">
        <f>69502*4180.78/1151067</f>
      </c>
      <c r="D24" s="7"/>
      <c r="E24" s="13"/>
      <c r="F24" s="7"/>
      <c r="G24" s="7">
        <v>1810.85</v>
      </c>
      <c r="H24" s="7">
        <v>2279.55</v>
      </c>
      <c r="I24" s="7">
        <v>4180.78</v>
      </c>
      <c r="J24" s="7"/>
      <c r="K24" s="7"/>
      <c r="L24" s="7">
        <f>B24*10000/12/G24</f>
      </c>
      <c r="M24" s="2">
        <v>0.0132</v>
      </c>
      <c r="N24" s="2">
        <f>I24/B24</f>
      </c>
      <c r="O24" s="2"/>
      <c r="P24" s="6">
        <f>G24/H24</f>
      </c>
      <c r="Q24" s="1">
        <f>C24*10000/H24</f>
      </c>
      <c r="R24" s="1"/>
      <c r="S24" s="1">
        <f>C24*10000/G24</f>
      </c>
      <c r="T24" s="1">
        <f>10000*I24/H24</f>
      </c>
      <c r="U24" s="1">
        <f>10000*I24/G24</f>
      </c>
    </row>
    <row customHeight="true" ht="16" r="25">
      <c r="A25" s="12" t="str">
        <v>民生</v>
      </c>
      <c r="B25" s="7">
        <v>16482.61</v>
      </c>
      <c r="C25" s="7">
        <f>505.76*100*2940.19/1105827</f>
      </c>
      <c r="D25" s="7"/>
      <c r="E25" s="13"/>
      <c r="F25" s="7">
        <v>3873.86</v>
      </c>
      <c r="G25" s="7">
        <f>F25*0.6</f>
      </c>
      <c r="H25" s="7"/>
      <c r="I25" s="7">
        <v>2940.19</v>
      </c>
      <c r="J25" s="7"/>
      <c r="K25" s="7"/>
      <c r="L25" s="7">
        <f>B25*10000/12/G25</f>
      </c>
      <c r="M25" s="2">
        <v>0.0207</v>
      </c>
      <c r="N25" s="2">
        <f>I25/B25</f>
      </c>
      <c r="O25" s="2"/>
      <c r="P25" s="6"/>
      <c r="Q25" s="1"/>
      <c r="R25" s="1"/>
      <c r="S25" s="1">
        <f>C25*10000/G25</f>
      </c>
      <c r="T25" s="1"/>
      <c r="U25" s="1">
        <f>10000*I25/G25</f>
      </c>
    </row>
    <row customHeight="true" ht="16" r="26">
      <c r="A26" s="12" t="str">
        <v>光大</v>
      </c>
      <c r="B26" s="7">
        <v>16742.34</v>
      </c>
      <c r="C26" s="7">
        <f>32365*3029.46/830004</f>
      </c>
      <c r="D26" s="7"/>
      <c r="E26" s="13"/>
      <c r="F26" s="7">
        <v>4526.33</v>
      </c>
      <c r="G26" s="7">
        <f>F26*0.6</f>
      </c>
      <c r="H26" s="7"/>
      <c r="I26" s="7">
        <v>3029.46</v>
      </c>
      <c r="J26" s="7"/>
      <c r="K26" s="7"/>
      <c r="L26" s="7">
        <f>B26*10000/12/G26</f>
      </c>
      <c r="M26" s="2">
        <v>0.0109</v>
      </c>
      <c r="N26" s="2">
        <f>I26/B26</f>
      </c>
      <c r="O26" s="2"/>
      <c r="P26" s="6"/>
      <c r="Q26" s="1"/>
      <c r="R26" s="1"/>
      <c r="S26" s="1">
        <f>C26*10000/G26</f>
      </c>
      <c r="T26" s="1"/>
      <c r="U26" s="1">
        <f>10000*I26/G26</f>
      </c>
    </row>
    <row r="27">
      <c r="A27" s="12"/>
      <c r="B27" s="12"/>
      <c r="C27" s="12"/>
      <c r="D27" s="12"/>
      <c r="E27" s="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customHeight="true" ht="16" r="28">
      <c r="A28" s="10"/>
      <c r="B28" s="11" t="str">
        <v>2016年</v>
      </c>
      <c r="C28" s="10"/>
      <c r="D28" s="10"/>
      <c r="E28" s="13"/>
      <c r="F28" s="10"/>
      <c r="G28" s="10"/>
      <c r="H28" s="10"/>
      <c r="I28" s="10"/>
      <c r="J28" s="10"/>
      <c r="K28" s="10"/>
      <c r="L28" s="10"/>
      <c r="M28" s="12"/>
      <c r="N28" s="12"/>
      <c r="O28" s="12"/>
      <c r="P28" s="12"/>
    </row>
    <row r="29">
      <c r="A29" s="11"/>
      <c r="B29" s="4" t="str">
        <v>交易额（亿元）</v>
      </c>
      <c r="C29" s="4" t="str">
        <v>利息收入（亿元）</v>
      </c>
      <c r="D29" s="4" t="str">
        <v>非利息收入（亿元）</v>
      </c>
      <c r="E29" s="14"/>
      <c r="F29" s="4" t="str">
        <v>累计发卡（万张）</v>
      </c>
      <c r="G29" s="4" t="str">
        <v>流通卡（万张）</v>
      </c>
      <c r="H29" s="4" t="str">
        <v>流通户数（万户）</v>
      </c>
      <c r="I29" s="4" t="str">
        <v>贷款余额（亿元）</v>
      </c>
      <c r="J29" s="4" t="str">
        <v>流通卡年ARPU（元）</v>
      </c>
      <c r="K29" s="4" t="str">
        <v>户均贷款（元）</v>
      </c>
      <c r="L29" s="4" t="str">
        <v>月均交易额（元）</v>
      </c>
      <c r="M29" s="4" t="str">
        <v>不良贷款率</v>
      </c>
      <c r="N29" s="4" t="str">
        <v>用信率</v>
      </c>
      <c r="O29" s="4"/>
      <c r="P29" s="4" t="str">
        <v>人均拥有卡量</v>
      </c>
      <c r="Q29" s="4" t="str">
        <v>单客户年收入</v>
      </c>
      <c r="R29" s="4"/>
      <c r="S29" s="4" t="str">
        <v>单卡年收入</v>
      </c>
      <c r="T29" s="4" t="str">
        <v>户均贷款</v>
      </c>
      <c r="U29" s="4" t="str">
        <v>卡均贷款</v>
      </c>
      <c r="V29" s="4"/>
      <c r="W29" s="4"/>
    </row>
    <row customHeight="true" ht="16" r="30">
      <c r="A30" s="12" t="str">
        <v>招行</v>
      </c>
      <c r="B30" s="7">
        <v>22748</v>
      </c>
      <c r="C30" s="7">
        <v>322.93</v>
      </c>
      <c r="D30" s="7"/>
      <c r="E30" s="13"/>
      <c r="F30" s="7"/>
      <c r="G30" s="7"/>
      <c r="H30" s="7">
        <v>3730</v>
      </c>
      <c r="I30" s="7"/>
      <c r="J30" s="7"/>
      <c r="K30" s="7"/>
      <c r="L30" s="7"/>
      <c r="M30" s="2">
        <v>0.014</v>
      </c>
      <c r="N30" s="2">
        <f>I30/B30</f>
      </c>
      <c r="O30" s="2"/>
      <c r="P30" s="6"/>
      <c r="Q30" s="1">
        <f>C30*10000/H30</f>
      </c>
      <c r="R30" s="1"/>
      <c r="S30" s="1"/>
      <c r="T30" s="1"/>
      <c r="U30" s="1">
        <v>0</v>
      </c>
    </row>
    <row customHeight="true" ht="16" r="31">
      <c r="A31" s="12" t="str">
        <v>建行</v>
      </c>
      <c r="B31" s="7">
        <v>23998.68</v>
      </c>
      <c r="C31" s="7">
        <f>169141*4437.33/1893844</f>
      </c>
      <c r="D31" s="7"/>
      <c r="E31" s="13"/>
      <c r="F31" s="7">
        <v>9407</v>
      </c>
      <c r="G31" s="7">
        <f>F31*0.6</f>
      </c>
      <c r="H31" s="7"/>
      <c r="I31" s="7">
        <v>4437.33</v>
      </c>
      <c r="J31" s="7"/>
      <c r="K31" s="7"/>
      <c r="L31" s="7">
        <f>B31*10000/12/G31</f>
      </c>
      <c r="M31" s="2">
        <v>0.0098</v>
      </c>
      <c r="N31" s="2">
        <f>I31/B31</f>
      </c>
      <c r="O31" s="2"/>
      <c r="P31" s="6"/>
      <c r="Q31" s="1"/>
      <c r="R31" s="1"/>
      <c r="S31" s="1">
        <f>C31*10000/G31</f>
      </c>
      <c r="T31" s="1"/>
      <c r="U31" s="1">
        <f>10000*I31/G31</f>
      </c>
    </row>
    <row customHeight="true" ht="16" r="32">
      <c r="A32" s="12" t="str">
        <v>工行</v>
      </c>
      <c r="B32" s="7"/>
      <c r="C32" s="7"/>
      <c r="D32" s="7"/>
      <c r="E32" s="13"/>
      <c r="F32" s="7">
        <v>12000</v>
      </c>
      <c r="G32" s="7">
        <f>F32*0.6</f>
      </c>
      <c r="H32" s="7"/>
      <c r="I32" s="7"/>
      <c r="J32" s="7"/>
      <c r="K32" s="7"/>
      <c r="L32" s="7"/>
      <c r="M32" s="2"/>
      <c r="N32" s="2"/>
      <c r="O32" s="2"/>
      <c r="P32" s="6"/>
      <c r="Q32" s="1"/>
      <c r="R32" s="1"/>
      <c r="S32" s="1"/>
      <c r="T32" s="1"/>
      <c r="U32" s="1">
        <v>0</v>
      </c>
    </row>
    <row customHeight="true" ht="16" r="33">
      <c r="A33" s="12" t="str">
        <v>中信</v>
      </c>
      <c r="B33" s="7">
        <v>10741.52</v>
      </c>
      <c r="C33" s="7">
        <v>123.3</v>
      </c>
      <c r="D33" s="7"/>
      <c r="E33" s="13"/>
      <c r="F33" s="7">
        <v>3738.04</v>
      </c>
      <c r="G33" s="7">
        <f>F33*0.6</f>
      </c>
      <c r="H33" s="7"/>
      <c r="I33" s="7">
        <v>2373.1</v>
      </c>
      <c r="J33" s="7"/>
      <c r="K33" s="7"/>
      <c r="L33" s="7">
        <f>B33*10000/12/G33</f>
      </c>
      <c r="M33" s="2">
        <v>0.0148</v>
      </c>
      <c r="N33" s="2">
        <f>I33/B33</f>
      </c>
      <c r="O33" s="2"/>
      <c r="P33" s="6"/>
      <c r="Q33" s="1"/>
      <c r="R33" s="1"/>
      <c r="S33" s="1">
        <f>C33*10000/G33</f>
      </c>
      <c r="T33" s="1"/>
      <c r="U33" s="1">
        <f>10000*I33/G33</f>
      </c>
    </row>
    <row customHeight="true" ht="16" r="34">
      <c r="A34" s="12" t="str">
        <v>平安</v>
      </c>
      <c r="B34" s="7">
        <v>11210.62</v>
      </c>
      <c r="C34" s="7">
        <f>42753*1810.85/472313</f>
      </c>
      <c r="D34" s="7"/>
      <c r="E34" s="13"/>
      <c r="F34" s="7"/>
      <c r="G34" s="7">
        <v>2560.61</v>
      </c>
      <c r="H34" s="7">
        <v>2274.18</v>
      </c>
      <c r="I34" s="7">
        <v>1810.85</v>
      </c>
      <c r="J34" s="7"/>
      <c r="K34" s="7"/>
      <c r="L34" s="7">
        <f>B34*10000/12/G34</f>
      </c>
      <c r="M34" s="2">
        <v>0.0143</v>
      </c>
      <c r="N34" s="2">
        <f>I34/B34</f>
      </c>
      <c r="O34" s="2"/>
      <c r="P34" s="6">
        <f>G34/H34</f>
      </c>
      <c r="Q34" s="1">
        <f>C34*10000/H34</f>
      </c>
      <c r="R34" s="1"/>
      <c r="S34" s="1">
        <f>C34*10000/G34</f>
      </c>
      <c r="T34" s="1">
        <f>10000*I34/H34</f>
      </c>
      <c r="U34" s="1">
        <f>10000*I34/G34</f>
      </c>
    </row>
    <row customHeight="true" ht="16" r="35">
      <c r="A35" s="12" t="str">
        <v>浦发</v>
      </c>
      <c r="B35" s="7">
        <v>6765.88</v>
      </c>
      <c r="C35" s="7">
        <f>36426*2667.76/970199</f>
      </c>
      <c r="D35" s="7"/>
      <c r="E35" s="13"/>
      <c r="F35" s="7"/>
      <c r="G35" s="7">
        <v>1687.59</v>
      </c>
      <c r="H35" s="7">
        <v>1510.77</v>
      </c>
      <c r="I35" s="7">
        <v>2667.76</v>
      </c>
      <c r="J35" s="7"/>
      <c r="K35" s="7"/>
      <c r="L35" s="7">
        <f>B35*10000/12/G35</f>
      </c>
      <c r="M35" s="2">
        <v>0.0121</v>
      </c>
      <c r="N35" s="2">
        <f>I35/B35</f>
      </c>
      <c r="O35" s="2"/>
      <c r="P35" s="6">
        <f>G35/H35</f>
      </c>
      <c r="Q35" s="1">
        <f>C35*10000/H35</f>
      </c>
      <c r="R35" s="1"/>
      <c r="S35" s="1">
        <f>C35*10000/G35</f>
      </c>
      <c r="T35" s="1">
        <f>10000*I35/H35</f>
      </c>
      <c r="U35" s="1">
        <f>10000*I35/G35</f>
      </c>
    </row>
    <row customHeight="true" ht="16" r="36">
      <c r="A36" s="12" t="str">
        <v>民生</v>
      </c>
      <c r="B36" s="7">
        <v>12332.48</v>
      </c>
      <c r="C36" s="7">
        <f>44600*2073.72/801230</f>
      </c>
      <c r="D36" s="7"/>
      <c r="E36" s="13"/>
      <c r="F36" s="7">
        <v>2833.64</v>
      </c>
      <c r="G36" s="7">
        <f>F36*0.6</f>
      </c>
      <c r="H36" s="7"/>
      <c r="I36" s="7">
        <v>2073.72</v>
      </c>
      <c r="J36" s="7"/>
      <c r="K36" s="7"/>
      <c r="L36" s="7">
        <f>B36*10000/12/G36</f>
      </c>
      <c r="M36" s="2">
        <v>0.025</v>
      </c>
      <c r="N36" s="2">
        <f>I36/B36</f>
      </c>
      <c r="O36" s="2"/>
      <c r="P36" s="6"/>
      <c r="Q36" s="1"/>
      <c r="R36" s="1"/>
      <c r="S36" s="1">
        <f>C36*10000/G36</f>
      </c>
      <c r="T36" s="1"/>
      <c r="U36" s="1">
        <f>10000*I36/G36</f>
      </c>
    </row>
    <row customHeight="true" ht="16" r="37">
      <c r="A37" s="12" t="str">
        <v>光大</v>
      </c>
      <c r="B37" s="7">
        <v>12773.87</v>
      </c>
      <c r="C37" s="7">
        <f>27035*2142.13/663131</f>
      </c>
      <c r="D37" s="7"/>
      <c r="E37" s="13"/>
      <c r="F37" s="7">
        <v>3595.87</v>
      </c>
      <c r="G37" s="7">
        <f>F37*0.6</f>
      </c>
      <c r="H37" s="7"/>
      <c r="I37" s="7">
        <v>2142.13</v>
      </c>
      <c r="J37" s="7"/>
      <c r="K37" s="7"/>
      <c r="L37" s="7">
        <f>B37*10000/12/G37</f>
      </c>
      <c r="M37" s="2">
        <v>0.0082</v>
      </c>
      <c r="N37" s="2">
        <f>I37/B37</f>
      </c>
      <c r="O37" s="2"/>
      <c r="P37" s="6"/>
      <c r="Q37" s="1"/>
      <c r="R37" s="1"/>
      <c r="S37" s="1">
        <f>C37*10000/G37</f>
      </c>
      <c r="T37" s="1"/>
      <c r="U37" s="1">
        <f>10000*I37/G37</f>
      </c>
    </row>
    <row r="38">
      <c r="A38" s="12"/>
      <c r="B38" s="12"/>
      <c r="C38" s="12"/>
      <c r="D38" s="12"/>
      <c r="E38" s="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>
      <c r="A39" s="12"/>
      <c r="B39" s="12"/>
      <c r="C39" s="12"/>
      <c r="D39" s="12"/>
      <c r="E39" s="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>
      <c r="A40" s="12"/>
      <c r="B40" s="12"/>
      <c r="C40" s="12"/>
      <c r="D40" s="12"/>
      <c r="E40" s="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>
      <c r="A41" s="12"/>
      <c r="B41" s="12"/>
      <c r="C41" s="12"/>
      <c r="D41" s="12"/>
      <c r="E41" s="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>
      <c r="A42" s="12"/>
      <c r="B42" s="12"/>
      <c r="C42" s="12"/>
      <c r="D42" s="12"/>
      <c r="E42" s="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>
      <c r="A43" s="12"/>
      <c r="B43" s="12"/>
      <c r="C43" s="12"/>
      <c r="D43" s="12"/>
      <c r="E43" s="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>
      <c r="A44" s="12"/>
      <c r="B44" s="12"/>
      <c r="C44" s="12"/>
      <c r="D44" s="12"/>
      <c r="E44" s="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>
      <c r="A45" s="12"/>
      <c r="B45" s="12"/>
      <c r="C45" s="12"/>
      <c r="D45" s="12"/>
      <c r="E45" s="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>
      <c r="A46" s="12"/>
      <c r="B46" s="12"/>
      <c r="C46" s="12"/>
      <c r="D46" s="12"/>
      <c r="E46" s="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>
      <c r="A47" s="12"/>
      <c r="B47" s="12"/>
      <c r="C47" s="12"/>
      <c r="D47" s="12"/>
      <c r="E47" s="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>
      <c r="A48" s="12"/>
      <c r="B48" s="12"/>
      <c r="C48" s="12"/>
      <c r="D48" s="12"/>
      <c r="E48" s="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>
      <c r="A49" s="12"/>
      <c r="B49" s="12"/>
      <c r="C49" s="12"/>
      <c r="D49" s="12"/>
      <c r="E49" s="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>
      <c r="A50" s="12"/>
      <c r="B50" s="12"/>
      <c r="C50" s="12"/>
      <c r="D50" s="12"/>
      <c r="E50" s="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12"/>
      <c r="B51" s="12"/>
      <c r="C51" s="12"/>
      <c r="D51" s="12"/>
      <c r="E51" s="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2"/>
      <c r="B52" s="12"/>
      <c r="C52" s="12"/>
      <c r="D52" s="12"/>
      <c r="E52" s="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2"/>
      <c r="B53" s="12"/>
      <c r="C53" s="12"/>
      <c r="D53" s="12"/>
      <c r="E53" s="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2"/>
      <c r="B54" s="12"/>
      <c r="C54" s="12"/>
      <c r="D54" s="12"/>
      <c r="E54" s="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2"/>
      <c r="B55" s="12"/>
      <c r="C55" s="12"/>
      <c r="D55" s="12"/>
      <c r="E55" s="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2"/>
      <c r="B56" s="12"/>
      <c r="C56" s="12"/>
      <c r="D56" s="12"/>
      <c r="E56" s="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12"/>
      <c r="B57" s="12"/>
      <c r="C57" s="12"/>
      <c r="D57" s="12"/>
      <c r="E57" s="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12"/>
      <c r="B58" s="12"/>
      <c r="C58" s="12"/>
      <c r="D58" s="12"/>
      <c r="E58" s="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2"/>
      <c r="B59" s="12"/>
      <c r="C59" s="12"/>
      <c r="D59" s="12"/>
      <c r="E59" s="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12"/>
      <c r="B60" s="12"/>
      <c r="C60" s="12"/>
      <c r="D60" s="12"/>
      <c r="E60" s="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12"/>
      <c r="B61" s="12"/>
      <c r="C61" s="12"/>
      <c r="D61" s="12"/>
      <c r="E61" s="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12"/>
      <c r="B62" s="12"/>
      <c r="C62" s="12"/>
      <c r="D62" s="12"/>
      <c r="E62" s="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2"/>
      <c r="B63" s="12"/>
      <c r="C63" s="12"/>
      <c r="D63" s="12"/>
      <c r="E63" s="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12"/>
      <c r="B64" s="12"/>
      <c r="C64" s="12"/>
      <c r="D64" s="12"/>
      <c r="E64" s="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12"/>
      <c r="B65" s="12"/>
      <c r="C65" s="12"/>
      <c r="D65" s="12"/>
      <c r="E65" s="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12"/>
      <c r="B66" s="12"/>
      <c r="C66" s="12"/>
      <c r="D66" s="12"/>
      <c r="E66" s="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12"/>
      <c r="B67" s="12"/>
      <c r="C67" s="12"/>
      <c r="D67" s="12"/>
      <c r="E67" s="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2"/>
      <c r="B68" s="12"/>
      <c r="C68" s="12"/>
      <c r="D68" s="12"/>
      <c r="E68" s="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2"/>
      <c r="B69" s="12"/>
      <c r="C69" s="12"/>
      <c r="D69" s="12"/>
      <c r="E69" s="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12"/>
      <c r="B70" s="12"/>
      <c r="C70" s="12"/>
      <c r="D70" s="12"/>
      <c r="E70" s="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12"/>
      <c r="B71" s="12"/>
      <c r="C71" s="12"/>
      <c r="D71" s="12"/>
      <c r="E71" s="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12"/>
      <c r="B72" s="12"/>
      <c r="C72" s="12"/>
      <c r="D72" s="12"/>
      <c r="E72" s="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12"/>
      <c r="B73" s="12"/>
      <c r="C73" s="12"/>
      <c r="D73" s="12"/>
      <c r="E73" s="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12"/>
      <c r="B74" s="12"/>
      <c r="C74" s="12"/>
      <c r="D74" s="12"/>
      <c r="E74" s="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12"/>
      <c r="B75" s="12"/>
      <c r="C75" s="12"/>
      <c r="D75" s="12"/>
      <c r="E75" s="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12"/>
      <c r="B76" s="12"/>
      <c r="C76" s="12"/>
      <c r="D76" s="12"/>
      <c r="E76" s="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2"/>
      <c r="B77" s="12"/>
      <c r="C77" s="12"/>
      <c r="D77" s="12"/>
      <c r="E77" s="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2"/>
      <c r="B78" s="12"/>
      <c r="C78" s="12"/>
      <c r="D78" s="12"/>
      <c r="E78" s="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2"/>
      <c r="B79" s="12"/>
      <c r="C79" s="12"/>
      <c r="D79" s="12"/>
      <c r="E79" s="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2"/>
      <c r="B80" s="12"/>
      <c r="C80" s="12"/>
      <c r="D80" s="12"/>
      <c r="E80" s="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2"/>
      <c r="B81" s="12"/>
      <c r="C81" s="12"/>
      <c r="D81" s="12"/>
      <c r="E81" s="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2"/>
      <c r="B82" s="12"/>
      <c r="C82" s="12"/>
      <c r="D82" s="12"/>
      <c r="E82" s="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12"/>
      <c r="B83" s="12"/>
      <c r="C83" s="12"/>
      <c r="D83" s="12"/>
      <c r="E83" s="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12"/>
      <c r="B84" s="12"/>
      <c r="C84" s="12"/>
      <c r="D84" s="12"/>
      <c r="E84" s="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2"/>
      <c r="B85" s="12"/>
      <c r="C85" s="12"/>
      <c r="D85" s="12"/>
      <c r="E85" s="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12"/>
      <c r="B86" s="12"/>
      <c r="C86" s="12"/>
      <c r="D86" s="12"/>
      <c r="E86" s="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2"/>
      <c r="B87" s="12"/>
      <c r="C87" s="12"/>
      <c r="D87" s="12"/>
      <c r="E87" s="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12"/>
      <c r="B88" s="12"/>
      <c r="C88" s="12"/>
      <c r="D88" s="12"/>
      <c r="E88" s="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12"/>
      <c r="B89" s="12"/>
      <c r="C89" s="12"/>
      <c r="D89" s="12"/>
      <c r="E89" s="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2"/>
      <c r="B90" s="12"/>
      <c r="C90" s="12"/>
      <c r="D90" s="12"/>
      <c r="E90" s="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12"/>
      <c r="B91" s="12"/>
      <c r="C91" s="12"/>
      <c r="D91" s="12"/>
      <c r="E91" s="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12"/>
      <c r="B92" s="12"/>
      <c r="C92" s="12"/>
      <c r="D92" s="12"/>
      <c r="E92" s="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12"/>
      <c r="B93" s="12"/>
      <c r="C93" s="12"/>
      <c r="D93" s="12"/>
      <c r="E93" s="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12"/>
      <c r="B94" s="12"/>
      <c r="C94" s="12"/>
      <c r="D94" s="12"/>
      <c r="E94" s="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12"/>
      <c r="B95" s="12"/>
      <c r="C95" s="12"/>
      <c r="D95" s="12"/>
      <c r="E95" s="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2"/>
      <c r="B96" s="12"/>
      <c r="C96" s="12"/>
      <c r="D96" s="12"/>
      <c r="E96" s="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12"/>
      <c r="B97" s="12"/>
      <c r="C97" s="12"/>
      <c r="D97" s="12"/>
      <c r="E97" s="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12"/>
      <c r="B98" s="12"/>
      <c r="C98" s="12"/>
      <c r="D98" s="12"/>
      <c r="E98" s="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12"/>
      <c r="B99" s="12"/>
      <c r="C99" s="12"/>
      <c r="D99" s="12"/>
      <c r="E99" s="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2"/>
      <c r="B100" s="12"/>
      <c r="C100" s="12"/>
      <c r="D100" s="12"/>
      <c r="E100" s="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A101" s="12"/>
      <c r="B101" s="12"/>
      <c r="C101" s="12"/>
      <c r="D101" s="12"/>
      <c r="E101" s="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A102" s="12"/>
      <c r="B102" s="12"/>
      <c r="C102" s="12"/>
      <c r="D102" s="12"/>
      <c r="E102" s="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2"/>
      <c r="B103" s="12"/>
      <c r="C103" s="12"/>
      <c r="D103" s="12"/>
      <c r="E103" s="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A104" s="12"/>
      <c r="B104" s="12"/>
      <c r="C104" s="12"/>
      <c r="D104" s="12"/>
      <c r="E104" s="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A105" s="12"/>
      <c r="B105" s="12"/>
      <c r="C105" s="12"/>
      <c r="D105" s="12"/>
      <c r="E105" s="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A106" s="12"/>
      <c r="B106" s="12"/>
      <c r="C106" s="12"/>
      <c r="D106" s="12"/>
      <c r="E106" s="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A107" s="12"/>
      <c r="B107" s="12"/>
      <c r="C107" s="12"/>
      <c r="D107" s="12"/>
      <c r="E107" s="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A108" s="12"/>
      <c r="B108" s="12"/>
      <c r="C108" s="12"/>
      <c r="D108" s="12"/>
      <c r="E108" s="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A109" s="12"/>
      <c r="B109" s="12"/>
      <c r="C109" s="12"/>
      <c r="D109" s="12"/>
      <c r="E109" s="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A110" s="12"/>
      <c r="B110" s="12"/>
      <c r="C110" s="12"/>
      <c r="D110" s="12"/>
      <c r="E110" s="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A111" s="12"/>
      <c r="B111" s="12"/>
      <c r="C111" s="12"/>
      <c r="D111" s="12"/>
      <c r="E111" s="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A112" s="12"/>
      <c r="B112" s="12"/>
      <c r="C112" s="12"/>
      <c r="D112" s="12"/>
      <c r="E112" s="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A113" s="12"/>
      <c r="B113" s="12"/>
      <c r="C113" s="12"/>
      <c r="D113" s="12"/>
      <c r="E113" s="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A114" s="12"/>
      <c r="B114" s="12"/>
      <c r="C114" s="12"/>
      <c r="D114" s="12"/>
      <c r="E114" s="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A115" s="12"/>
      <c r="B115" s="12"/>
      <c r="C115" s="12"/>
      <c r="D115" s="12"/>
      <c r="E115" s="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A116" s="12"/>
      <c r="B116" s="12"/>
      <c r="C116" s="12"/>
      <c r="D116" s="12"/>
      <c r="E116" s="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A117" s="12"/>
      <c r="B117" s="12"/>
      <c r="C117" s="12"/>
      <c r="D117" s="12"/>
      <c r="E117" s="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A118" s="12"/>
      <c r="B118" s="12"/>
      <c r="C118" s="12"/>
      <c r="D118" s="12"/>
      <c r="E118" s="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A119" s="12"/>
      <c r="B119" s="12"/>
      <c r="C119" s="12"/>
      <c r="D119" s="12"/>
      <c r="E119" s="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A120" s="12"/>
      <c r="B120" s="12"/>
      <c r="C120" s="12"/>
      <c r="D120" s="12"/>
      <c r="E120" s="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A121" s="12"/>
      <c r="B121" s="12"/>
      <c r="C121" s="12"/>
      <c r="D121" s="12"/>
      <c r="E121" s="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A122" s="12"/>
      <c r="B122" s="12"/>
      <c r="C122" s="12"/>
      <c r="D122" s="12"/>
      <c r="E122" s="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A123" s="12"/>
      <c r="B123" s="12"/>
      <c r="C123" s="12"/>
      <c r="D123" s="12"/>
      <c r="E123" s="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A124" s="12"/>
      <c r="B124" s="12"/>
      <c r="C124" s="12"/>
      <c r="D124" s="12"/>
      <c r="E124" s="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A125" s="12"/>
      <c r="B125" s="12"/>
      <c r="C125" s="12"/>
      <c r="D125" s="12"/>
      <c r="E125" s="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A126" s="12"/>
      <c r="B126" s="12"/>
      <c r="C126" s="12"/>
      <c r="D126" s="12"/>
      <c r="E126" s="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A127" s="12"/>
      <c r="B127" s="12"/>
      <c r="C127" s="12"/>
      <c r="D127" s="12"/>
      <c r="E127" s="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A128" s="12"/>
      <c r="B128" s="12"/>
      <c r="C128" s="12"/>
      <c r="D128" s="12"/>
      <c r="E128" s="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A129" s="12"/>
      <c r="B129" s="12"/>
      <c r="C129" s="12"/>
      <c r="D129" s="12"/>
      <c r="E129" s="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A130" s="12"/>
      <c r="B130" s="12"/>
      <c r="C130" s="12"/>
      <c r="D130" s="12"/>
      <c r="E130" s="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A131" s="12"/>
      <c r="B131" s="12"/>
      <c r="C131" s="12"/>
      <c r="D131" s="12"/>
      <c r="E131" s="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A132" s="12"/>
      <c r="B132" s="12"/>
      <c r="C132" s="12"/>
      <c r="D132" s="12"/>
      <c r="E132" s="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A133" s="12"/>
      <c r="B133" s="12"/>
      <c r="C133" s="12"/>
      <c r="D133" s="12"/>
      <c r="E133" s="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A134" s="12"/>
      <c r="B134" s="12"/>
      <c r="C134" s="12"/>
      <c r="D134" s="12"/>
      <c r="E134" s="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A135" s="12"/>
      <c r="B135" s="12"/>
      <c r="C135" s="12"/>
      <c r="D135" s="12"/>
      <c r="E135" s="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A136" s="12"/>
      <c r="B136" s="12"/>
      <c r="C136" s="12"/>
      <c r="D136" s="12"/>
      <c r="E136" s="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A137" s="12"/>
      <c r="B137" s="12"/>
      <c r="C137" s="12"/>
      <c r="D137" s="12"/>
      <c r="E137" s="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A138" s="12"/>
      <c r="B138" s="12"/>
      <c r="C138" s="12"/>
      <c r="D138" s="12"/>
      <c r="E138" s="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A139" s="12"/>
      <c r="B139" s="12"/>
      <c r="C139" s="12"/>
      <c r="D139" s="12"/>
      <c r="E139" s="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A140" s="12"/>
      <c r="B140" s="12"/>
      <c r="C140" s="12"/>
      <c r="D140" s="12"/>
      <c r="E140" s="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A141" s="12"/>
      <c r="B141" s="12"/>
      <c r="C141" s="12"/>
      <c r="D141" s="12"/>
      <c r="E141" s="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A142" s="12"/>
      <c r="B142" s="12"/>
      <c r="C142" s="12"/>
      <c r="D142" s="12"/>
      <c r="E142" s="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A143" s="12"/>
      <c r="B143" s="12"/>
      <c r="C143" s="12"/>
      <c r="D143" s="12"/>
      <c r="E143" s="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A144" s="12"/>
      <c r="B144" s="12"/>
      <c r="C144" s="12"/>
      <c r="D144" s="12"/>
      <c r="E144" s="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A145" s="12"/>
      <c r="B145" s="12"/>
      <c r="C145" s="12"/>
      <c r="D145" s="12"/>
      <c r="E145" s="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A146" s="12"/>
      <c r="B146" s="12"/>
      <c r="C146" s="12"/>
      <c r="D146" s="12"/>
      <c r="E146" s="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A147" s="12"/>
      <c r="B147" s="12"/>
      <c r="C147" s="12"/>
      <c r="D147" s="12"/>
      <c r="E147" s="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A148" s="12"/>
      <c r="B148" s="12"/>
      <c r="C148" s="12"/>
      <c r="D148" s="12"/>
      <c r="E148" s="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A149" s="12"/>
      <c r="B149" s="12"/>
      <c r="C149" s="12"/>
      <c r="D149" s="12"/>
      <c r="E149" s="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A150" s="12"/>
      <c r="B150" s="12"/>
      <c r="C150" s="12"/>
      <c r="D150" s="12"/>
      <c r="E150" s="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A151" s="12"/>
      <c r="B151" s="12"/>
      <c r="C151" s="12"/>
      <c r="D151" s="12"/>
      <c r="E151" s="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A152" s="12"/>
      <c r="B152" s="12"/>
      <c r="C152" s="12"/>
      <c r="D152" s="12"/>
      <c r="E152" s="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A153" s="12"/>
      <c r="B153" s="12"/>
      <c r="C153" s="12"/>
      <c r="D153" s="12"/>
      <c r="E153" s="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A154" s="12"/>
      <c r="B154" s="12"/>
      <c r="C154" s="12"/>
      <c r="D154" s="12"/>
      <c r="E154" s="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A155" s="12"/>
      <c r="B155" s="12"/>
      <c r="C155" s="12"/>
      <c r="D155" s="12"/>
      <c r="E155" s="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A156" s="12"/>
      <c r="B156" s="12"/>
      <c r="C156" s="12"/>
      <c r="D156" s="12"/>
      <c r="E156" s="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A157" s="12"/>
      <c r="B157" s="12"/>
      <c r="C157" s="12"/>
      <c r="D157" s="12"/>
      <c r="E157" s="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A158" s="12"/>
      <c r="B158" s="12"/>
      <c r="C158" s="12"/>
      <c r="D158" s="12"/>
      <c r="E158" s="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A159" s="12"/>
      <c r="B159" s="12"/>
      <c r="C159" s="12"/>
      <c r="D159" s="12"/>
      <c r="E159" s="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A160" s="12"/>
      <c r="B160" s="12"/>
      <c r="C160" s="12"/>
      <c r="D160" s="12"/>
      <c r="E160" s="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A161" s="12"/>
      <c r="B161" s="12"/>
      <c r="C161" s="12"/>
      <c r="D161" s="12"/>
      <c r="E161" s="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A162" s="12"/>
      <c r="B162" s="12"/>
      <c r="C162" s="12"/>
      <c r="D162" s="12"/>
      <c r="E162" s="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A163" s="12"/>
      <c r="B163" s="12"/>
      <c r="C163" s="12"/>
      <c r="D163" s="12"/>
      <c r="E163" s="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A164" s="12"/>
      <c r="B164" s="12"/>
      <c r="C164" s="12"/>
      <c r="D164" s="12"/>
      <c r="E164" s="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A165" s="12"/>
      <c r="B165" s="12"/>
      <c r="C165" s="12"/>
      <c r="D165" s="12"/>
      <c r="E165" s="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A166" s="12"/>
      <c r="B166" s="12"/>
      <c r="C166" s="12"/>
      <c r="D166" s="12"/>
      <c r="E166" s="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A167" s="12"/>
      <c r="B167" s="12"/>
      <c r="C167" s="12"/>
      <c r="D167" s="12"/>
      <c r="E167" s="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A168" s="12"/>
      <c r="B168" s="12"/>
      <c r="C168" s="12"/>
      <c r="D168" s="12"/>
      <c r="E168" s="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A169" s="12"/>
      <c r="B169" s="12"/>
      <c r="C169" s="12"/>
      <c r="D169" s="12"/>
      <c r="E169" s="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A170" s="12"/>
      <c r="B170" s="12"/>
      <c r="C170" s="12"/>
      <c r="D170" s="12"/>
      <c r="E170" s="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A171" s="12"/>
      <c r="B171" s="12"/>
      <c r="C171" s="12"/>
      <c r="D171" s="12"/>
      <c r="E171" s="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A172" s="12"/>
      <c r="B172" s="12"/>
      <c r="C172" s="12"/>
      <c r="D172" s="12"/>
      <c r="E172" s="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A173" s="12"/>
      <c r="B173" s="12"/>
      <c r="C173" s="12"/>
      <c r="D173" s="12"/>
      <c r="E173" s="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A174" s="12"/>
      <c r="B174" s="12"/>
      <c r="C174" s="12"/>
      <c r="D174" s="12"/>
      <c r="E174" s="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A175" s="12"/>
      <c r="B175" s="12"/>
      <c r="C175" s="12"/>
      <c r="D175" s="12"/>
      <c r="E175" s="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A176" s="12"/>
      <c r="B176" s="12"/>
      <c r="C176" s="12"/>
      <c r="D176" s="12"/>
      <c r="E176" s="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A177" s="12"/>
      <c r="B177" s="12"/>
      <c r="C177" s="12"/>
      <c r="D177" s="12"/>
      <c r="E177" s="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A178" s="12"/>
      <c r="B178" s="12"/>
      <c r="C178" s="12"/>
      <c r="D178" s="12"/>
      <c r="E178" s="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A179" s="12"/>
      <c r="B179" s="12"/>
      <c r="C179" s="12"/>
      <c r="D179" s="12"/>
      <c r="E179" s="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A180" s="12"/>
      <c r="B180" s="12"/>
      <c r="C180" s="12"/>
      <c r="D180" s="12"/>
      <c r="E180" s="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A181" s="12"/>
      <c r="B181" s="12"/>
      <c r="C181" s="12"/>
      <c r="D181" s="12"/>
      <c r="E181" s="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A182" s="12"/>
      <c r="B182" s="12"/>
      <c r="C182" s="12"/>
      <c r="D182" s="12"/>
      <c r="E182" s="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A183" s="12"/>
      <c r="B183" s="12"/>
      <c r="C183" s="12"/>
      <c r="D183" s="12"/>
      <c r="E183" s="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A184" s="12"/>
      <c r="B184" s="12"/>
      <c r="C184" s="12"/>
      <c r="D184" s="12"/>
      <c r="E184" s="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A185" s="12"/>
      <c r="B185" s="12"/>
      <c r="C185" s="12"/>
      <c r="D185" s="12"/>
      <c r="E185" s="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A186" s="12"/>
      <c r="B186" s="12"/>
      <c r="C186" s="12"/>
      <c r="D186" s="12"/>
      <c r="E186" s="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A187" s="12"/>
      <c r="B187" s="12"/>
      <c r="C187" s="12"/>
      <c r="D187" s="12"/>
      <c r="E187" s="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A188" s="12"/>
      <c r="B188" s="12"/>
      <c r="C188" s="12"/>
      <c r="D188" s="12"/>
      <c r="E188" s="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A189" s="12"/>
      <c r="B189" s="12"/>
      <c r="C189" s="12"/>
      <c r="D189" s="12"/>
      <c r="E189" s="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A190" s="12"/>
      <c r="B190" s="12"/>
      <c r="C190" s="12"/>
      <c r="D190" s="12"/>
      <c r="E190" s="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A191" s="12"/>
      <c r="B191" s="12"/>
      <c r="C191" s="12"/>
      <c r="D191" s="12"/>
      <c r="E191" s="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A192" s="12"/>
      <c r="B192" s="12"/>
      <c r="C192" s="12"/>
      <c r="D192" s="12"/>
      <c r="E192" s="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A193" s="12"/>
      <c r="B193" s="12"/>
      <c r="C193" s="12"/>
      <c r="D193" s="12"/>
      <c r="E193" s="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A194" s="12"/>
      <c r="B194" s="12"/>
      <c r="C194" s="12"/>
      <c r="D194" s="12"/>
      <c r="E194" s="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A195" s="12"/>
      <c r="B195" s="12"/>
      <c r="C195" s="12"/>
      <c r="D195" s="12"/>
      <c r="E195" s="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A196" s="12"/>
      <c r="B196" s="12"/>
      <c r="C196" s="12"/>
      <c r="D196" s="12"/>
      <c r="E196" s="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A197" s="12"/>
      <c r="B197" s="12"/>
      <c r="C197" s="12"/>
      <c r="D197" s="12"/>
      <c r="E197" s="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A198" s="12"/>
      <c r="B198" s="12"/>
      <c r="C198" s="12"/>
      <c r="D198" s="12"/>
      <c r="E198" s="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A199" s="12"/>
      <c r="B199" s="12"/>
      <c r="C199" s="12"/>
      <c r="D199" s="12"/>
      <c r="E199" s="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A200" s="12"/>
      <c r="B200" s="12"/>
      <c r="C200" s="12"/>
      <c r="D200" s="12"/>
      <c r="E200" s="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A201" s="12"/>
      <c r="B201" s="12"/>
      <c r="C201" s="12"/>
      <c r="D201" s="12"/>
      <c r="E201" s="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1" min="1" style="0" width="3"/>
    <col collapsed="false" customWidth="true" hidden="false" max="2" min="2" style="0" width="12"/>
    <col collapsed="false" customWidth="true" hidden="false" max="3" min="3" style="0" width="13"/>
    <col collapsed="false" customWidth="true" hidden="false" max="4" min="4" style="0" width="9"/>
    <col collapsed="false" customWidth="true" hidden="false" max="4" min="4" style="0" width="9"/>
    <col collapsed="false" customWidth="true" hidden="false" max="5" min="5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1"/>
    <col collapsed="false" customWidth="true" hidden="true" max="9" min="9" style="0" width="11"/>
    <col collapsed="false" customWidth="true" hidden="false" max="10" min="10" style="0" width="11"/>
    <col collapsed="false" customWidth="true" hidden="true" max="10" min="10" style="0" width="11"/>
    <col collapsed="false" customWidth="true" hidden="false" max="11" min="11" style="0" width="13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2"/>
    <col collapsed="false" customWidth="true" hidden="false" max="15" min="15" style="0" width="13"/>
    <col collapsed="false" customWidth="true" hidden="false" max="17" min="17" style="0" width="12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2"/>
  </cols>
  <sheetData>
    <row customHeight="true" ht="16" r="1">
      <c r="A1" s="10"/>
      <c r="B1" s="11" t="str">
        <v>2018年</v>
      </c>
      <c r="C1" s="10"/>
      <c r="D1" s="10"/>
      <c r="E1" s="10"/>
      <c r="F1" s="10"/>
      <c r="G1" s="10"/>
      <c r="H1" s="10"/>
      <c r="I1" s="10"/>
      <c r="J1" s="10"/>
      <c r="K1" s="10"/>
      <c r="L1" s="12"/>
      <c r="M1" s="12"/>
      <c r="N1" s="12"/>
    </row>
    <row customHeight="true" ht="16" r="2">
      <c r="A2" s="11"/>
      <c r="B2" s="4" t="str">
        <v>交易额（亿元）</v>
      </c>
      <c r="C2" s="4" t="str">
        <v>利息收入（亿元）</v>
      </c>
      <c r="D2" s="4" t="str">
        <v>非利息收入（亿元）</v>
      </c>
      <c r="E2" s="4" t="str">
        <v>累计发卡（万张）</v>
      </c>
      <c r="F2" s="4" t="str">
        <v>流通卡（万张）</v>
      </c>
      <c r="G2" s="4" t="str">
        <v>流通户数（万户）</v>
      </c>
      <c r="H2" s="4" t="str">
        <v>贷款余额（亿元）</v>
      </c>
      <c r="I2" s="4" t="str">
        <v>流通卡年ARPU（元）</v>
      </c>
      <c r="J2" s="4" t="str">
        <v>户均贷款（元）</v>
      </c>
      <c r="K2" s="4" t="str">
        <v>月均交易额（元）</v>
      </c>
      <c r="L2" s="4" t="str">
        <v>不良贷款率</v>
      </c>
      <c r="M2" s="4" t="str">
        <v>用信率</v>
      </c>
      <c r="N2" s="4" t="str">
        <v>人均拥有卡量</v>
      </c>
      <c r="O2" s="4" t="str">
        <v>单客户年收入</v>
      </c>
      <c r="P2" s="4" t="str">
        <v>单发卡收入</v>
      </c>
      <c r="Q2" s="4" t="str">
        <v>单卡年收入</v>
      </c>
      <c r="R2" s="4" t="str">
        <v>户均贷款</v>
      </c>
      <c r="S2" s="4" t="str">
        <v>卡均贷款</v>
      </c>
      <c r="T2" s="4"/>
      <c r="U2" s="4"/>
    </row>
    <row customHeight="true" ht="16" r="3">
      <c r="A3" s="12" t="str">
        <v>招行</v>
      </c>
      <c r="B3" s="7">
        <v>37938.36</v>
      </c>
      <c r="C3" s="7">
        <v>459.79</v>
      </c>
      <c r="D3" s="7">
        <v>207.22</v>
      </c>
      <c r="E3" s="8">
        <f>F3/0.6</f>
      </c>
      <c r="F3" s="8">
        <f>B3/K3*10000/12</f>
      </c>
      <c r="G3" s="7">
        <v>5802.93</v>
      </c>
      <c r="H3" s="7">
        <v>5753.65</v>
      </c>
      <c r="I3" s="7">
        <v>262</v>
      </c>
      <c r="J3" s="7">
        <v>6824.851372</v>
      </c>
      <c r="K3" s="7">
        <v>4000</v>
      </c>
      <c r="L3" s="2">
        <v>0.0111</v>
      </c>
      <c r="M3" s="2">
        <f>H3/B3</f>
      </c>
      <c r="N3" s="6">
        <f>F3/G3</f>
      </c>
      <c r="O3" s="1">
        <f>C3*10000/G3</f>
      </c>
      <c r="P3" s="1">
        <f>(C3)*10000/E3</f>
      </c>
      <c r="Q3" s="1">
        <f>C3*10000/F3</f>
      </c>
      <c r="R3" s="1">
        <f>10000*H3/G3</f>
      </c>
      <c r="S3" s="1">
        <f>10000*H3/F3</f>
      </c>
      <c r="T3" s="12">
        <f>B3/G3*10000/12</f>
      </c>
      <c r="U3" s="9">
        <f>F3/E3</f>
      </c>
    </row>
    <row customHeight="true" ht="16" r="4">
      <c r="A4" s="12" t="str">
        <v>建行</v>
      </c>
      <c r="B4" s="7">
        <v>29927.36</v>
      </c>
      <c r="C4" s="8">
        <f>5669.42*6513.89/130719.79</f>
      </c>
      <c r="D4" s="8">
        <v>461.92</v>
      </c>
      <c r="E4" s="7">
        <v>12140</v>
      </c>
      <c r="F4" s="8">
        <f>B4/K4*10000/12</f>
      </c>
      <c r="G4" s="8"/>
      <c r="H4" s="7">
        <v>6513.89</v>
      </c>
      <c r="I4" s="7">
        <v>265</v>
      </c>
      <c r="J4" s="7">
        <v>8942.737507</v>
      </c>
      <c r="K4" s="7">
        <v>4000</v>
      </c>
      <c r="L4" s="2">
        <v>0.0098</v>
      </c>
      <c r="M4" s="2">
        <f>H4/B4</f>
      </c>
      <c r="N4" s="6"/>
      <c r="O4" s="1"/>
      <c r="P4" s="1">
        <f>(C4)*10000/E4</f>
      </c>
      <c r="Q4" s="1">
        <f>C4*10000/F4</f>
      </c>
      <c r="R4" s="1"/>
      <c r="S4" s="1">
        <f>10000*H4/F4</f>
      </c>
      <c r="T4" s="12">
        <f>B4/G4*10000/12</f>
      </c>
      <c r="U4" s="9">
        <f>F4/E4</f>
      </c>
    </row>
    <row customHeight="true" ht="16" r="5">
      <c r="A5" s="12" t="str">
        <v>工行</v>
      </c>
      <c r="B5" s="7">
        <v>29000</v>
      </c>
      <c r="C5" s="8">
        <f>2143.17/4891776*626468</f>
      </c>
      <c r="D5" s="8">
        <v>437.19</v>
      </c>
      <c r="E5" s="7">
        <v>15100</v>
      </c>
      <c r="F5" s="8">
        <f>B5/K5*10000/12</f>
      </c>
      <c r="G5" s="8"/>
      <c r="H5" s="7">
        <v>6264.68</v>
      </c>
      <c r="I5" s="7"/>
      <c r="J5" s="7">
        <v>6914.657837</v>
      </c>
      <c r="K5" s="7">
        <v>4000</v>
      </c>
      <c r="L5" s="2"/>
      <c r="M5" s="2">
        <f>H5/B5</f>
      </c>
      <c r="N5" s="6"/>
      <c r="O5" s="1"/>
      <c r="P5" s="1">
        <f>(C5)*10000/E5</f>
      </c>
      <c r="Q5" s="1">
        <f>C5*10000/F5</f>
      </c>
      <c r="R5" s="1"/>
      <c r="S5" s="1">
        <f>10000*H5/F5</f>
      </c>
      <c r="T5" s="12">
        <f>B5/G5*10000/12</f>
      </c>
      <c r="U5" s="9">
        <f>F5/E5</f>
      </c>
    </row>
    <row customHeight="true" ht="16" r="6">
      <c r="A6" s="12" t="str">
        <v>中信</v>
      </c>
      <c r="B6" s="7">
        <v>20815.83</v>
      </c>
      <c r="C6" s="7">
        <v>460.23</v>
      </c>
      <c r="D6" s="7">
        <v>308.15</v>
      </c>
      <c r="E6" s="7">
        <v>6705.69</v>
      </c>
      <c r="F6" s="8">
        <f>E6*0.6</f>
      </c>
      <c r="G6" s="8"/>
      <c r="H6" s="7">
        <v>4420.5</v>
      </c>
      <c r="I6" s="7">
        <v>901</v>
      </c>
      <c r="J6" s="7">
        <v>9988.125417</v>
      </c>
      <c r="K6" s="7">
        <v>3916</v>
      </c>
      <c r="L6" s="2">
        <v>0.0185</v>
      </c>
      <c r="M6" s="2">
        <f>H6/B6</f>
      </c>
      <c r="N6" s="6"/>
      <c r="O6" s="1"/>
      <c r="P6" s="1">
        <f>(C6)*10000/E6</f>
      </c>
      <c r="Q6" s="1">
        <f>C6*10000/F6</f>
      </c>
      <c r="R6" s="1"/>
      <c r="S6" s="1">
        <f>10000*H6/F6</f>
      </c>
      <c r="T6" s="12">
        <f>B6/G6*10000/12</f>
      </c>
      <c r="U6" s="9">
        <f>F6/E6</f>
      </c>
    </row>
    <row customHeight="true" ht="16" r="7">
      <c r="A7" s="12" t="str">
        <v>平安</v>
      </c>
      <c r="B7" s="7">
        <v>27248.07</v>
      </c>
      <c r="C7" s="8">
        <f>789.26*473295/1154013</f>
      </c>
      <c r="D7" s="8">
        <v>252.66</v>
      </c>
      <c r="E7" s="8">
        <f>F7/0.6</f>
      </c>
      <c r="F7" s="7">
        <v>5152</v>
      </c>
      <c r="G7" s="8"/>
      <c r="H7" s="7">
        <v>4732.95</v>
      </c>
      <c r="I7" s="7">
        <v>602</v>
      </c>
      <c r="J7" s="7">
        <v>9186.626553</v>
      </c>
      <c r="K7" s="7">
        <v>4407</v>
      </c>
      <c r="L7" s="2">
        <v>0.0132</v>
      </c>
      <c r="M7" s="2">
        <f>H7/B7</f>
      </c>
      <c r="N7" s="6"/>
      <c r="O7" s="1"/>
      <c r="P7" s="1">
        <f>(C7)*10000/E7</f>
      </c>
      <c r="Q7" s="1">
        <f>C7*10000/F7</f>
      </c>
      <c r="R7" s="1"/>
      <c r="S7" s="1">
        <f>10000*H7/F7</f>
      </c>
      <c r="T7" s="12">
        <f>B7/G7*10000/12</f>
      </c>
      <c r="U7" s="9">
        <f>F7/E7</f>
      </c>
    </row>
    <row customHeight="true" ht="16" r="8">
      <c r="A8" s="12" t="str">
        <v>浦发</v>
      </c>
      <c r="B8" s="7">
        <v>18065.7</v>
      </c>
      <c r="C8" s="8">
        <f>552.78-D8</f>
      </c>
      <c r="D8" s="8">
        <v>233.9</v>
      </c>
      <c r="E8" s="7">
        <v>5650.54</v>
      </c>
      <c r="F8" s="7">
        <v>3750.36</v>
      </c>
      <c r="G8" s="7">
        <v>2933.3</v>
      </c>
      <c r="H8" s="7">
        <v>4333.29</v>
      </c>
      <c r="I8" s="7">
        <v>682</v>
      </c>
      <c r="J8" s="7">
        <v>11554.33078</v>
      </c>
      <c r="K8" s="7">
        <v>4014</v>
      </c>
      <c r="L8" s="2">
        <v>0.0181</v>
      </c>
      <c r="M8" s="2">
        <f>H8/B8</f>
      </c>
      <c r="N8" s="6">
        <f>F8/G8</f>
      </c>
      <c r="O8" s="1">
        <f>C8*10000/G8</f>
      </c>
      <c r="P8" s="1">
        <f>(C8)*10000/E8</f>
      </c>
      <c r="Q8" s="1">
        <f>C8*10000/F8</f>
      </c>
      <c r="R8" s="1">
        <f>10000*H8/G8</f>
      </c>
      <c r="S8" s="1">
        <f>10000*H8/F8</f>
      </c>
      <c r="T8" s="12">
        <f>B8/G8*10000/12</f>
      </c>
      <c r="U8" s="9">
        <f>F8/E8</f>
      </c>
    </row>
    <row customHeight="true" ht="16" r="9">
      <c r="A9" s="12" t="str">
        <v>民生</v>
      </c>
      <c r="B9" s="7">
        <v>22116.25</v>
      </c>
      <c r="C9" s="8">
        <f>1473.87*393249/3056746</f>
      </c>
      <c r="D9" s="7">
        <v>280.73</v>
      </c>
      <c r="E9" s="7">
        <v>4954.72</v>
      </c>
      <c r="F9" s="8">
        <f>E9*0.6</f>
      </c>
      <c r="G9" s="8"/>
      <c r="H9" s="7">
        <v>3932.49</v>
      </c>
      <c r="I9" s="7"/>
      <c r="J9" s="7">
        <v>13228.10252</v>
      </c>
      <c r="K9" s="7">
        <v>6200</v>
      </c>
      <c r="L9" s="2">
        <v>0.0215</v>
      </c>
      <c r="M9" s="2">
        <f>H9/B9</f>
      </c>
      <c r="N9" s="6"/>
      <c r="O9" s="1"/>
      <c r="P9" s="1">
        <f>(C9)*10000/E9</f>
      </c>
      <c r="Q9" s="1">
        <f>C9*10000/F9</f>
      </c>
      <c r="R9" s="1"/>
      <c r="S9" s="1">
        <f>10000*H9/F9</f>
      </c>
      <c r="T9" s="12">
        <f>B9/G9*10000/12</f>
      </c>
      <c r="U9" s="9">
        <f>F9/E9</f>
      </c>
    </row>
    <row customHeight="true" ht="16" r="10">
      <c r="A10" s="12" t="str">
        <v>光大</v>
      </c>
      <c r="B10" s="7">
        <v>22886.75</v>
      </c>
      <c r="C10" s="8">
        <f>390.39-D10</f>
      </c>
      <c r="D10" s="8">
        <v>286.44</v>
      </c>
      <c r="E10" s="7">
        <v>6052.73</v>
      </c>
      <c r="F10" s="8">
        <f>E10*0.6</f>
      </c>
      <c r="G10" s="8"/>
      <c r="H10" s="7">
        <v>4014.32</v>
      </c>
      <c r="I10" s="7"/>
      <c r="J10" s="7">
        <v>11053.73881</v>
      </c>
      <c r="K10" s="7">
        <v>5252</v>
      </c>
      <c r="L10" s="12"/>
      <c r="M10" s="2">
        <f>H10/B10</f>
      </c>
      <c r="N10" s="6"/>
      <c r="O10" s="1"/>
      <c r="P10" s="1">
        <f>(C10)*10000/E10</f>
      </c>
      <c r="Q10" s="1">
        <f>C10*10000/F10</f>
      </c>
      <c r="R10" s="1"/>
      <c r="S10" s="1">
        <f>10000*H10/F10</f>
      </c>
      <c r="T10" s="12">
        <f>B10/G10*10000/12</f>
      </c>
      <c r="U10" s="9">
        <f>F10/E10</f>
      </c>
    </row>
    <row r="11">
      <c r="A11" s="12" t="str">
        <v>中行</v>
      </c>
      <c r="B11" s="6">
        <v>16195.55</v>
      </c>
      <c r="C11" s="12"/>
      <c r="D11" s="12"/>
      <c r="E11" s="6">
        <v>11065.73</v>
      </c>
      <c r="F11" s="8">
        <f>E11*0.4</f>
      </c>
      <c r="G11" s="12"/>
      <c r="H11" s="6">
        <v>2791.32</v>
      </c>
      <c r="I11" s="12"/>
      <c r="J11" s="12"/>
      <c r="K11" s="12">
        <f>B11/F11/12*10000</f>
      </c>
      <c r="L11" s="12"/>
      <c r="M11" s="2">
        <f>H11/B11</f>
      </c>
      <c r="N11" s="12"/>
    </row>
    <row r="12">
      <c r="A12" s="12"/>
      <c r="B12" s="12">
        <f>SUM(B3:B11)</f>
      </c>
      <c r="C12" s="12">
        <f>B12*0.2%</f>
      </c>
      <c r="D12" s="12"/>
      <c r="E12" s="12"/>
      <c r="F12" s="12">
        <f>SUM(F3:F10)</f>
      </c>
      <c r="G12" s="12">
        <f>F5/F12</f>
      </c>
      <c r="H12" s="12">
        <f>G12*0.8</f>
      </c>
      <c r="I12" s="12"/>
      <c r="J12" s="12"/>
      <c r="K12" s="12"/>
      <c r="L12" s="12"/>
      <c r="M12" s="12"/>
      <c r="N12" s="12"/>
    </row>
    <row customHeight="true" ht="16" r="13">
      <c r="A13" s="10"/>
      <c r="B13" s="11" t="str">
        <v>2017年</v>
      </c>
      <c r="C13" s="10"/>
      <c r="D13" s="10"/>
      <c r="E13" s="10"/>
      <c r="F13" s="10"/>
      <c r="G13" s="10"/>
      <c r="H13" s="10"/>
      <c r="I13" s="10"/>
      <c r="J13" s="10"/>
      <c r="K13" s="10"/>
      <c r="L13" s="12"/>
      <c r="M13" s="12"/>
      <c r="N13" s="12"/>
    </row>
    <row customHeight="true" ht="16" r="14">
      <c r="A14" s="11"/>
      <c r="B14" s="4" t="str">
        <v>交易额（亿元）</v>
      </c>
      <c r="C14" s="4" t="str">
        <v>利息收入（亿元）</v>
      </c>
      <c r="D14" s="4" t="str">
        <v>非利息收入（亿元）</v>
      </c>
      <c r="E14" s="4" t="str">
        <v>累计发卡（万张）</v>
      </c>
      <c r="F14" s="4" t="str">
        <v>流通卡（万张）</v>
      </c>
      <c r="G14" s="4" t="str">
        <v>流通户数（万户）</v>
      </c>
      <c r="H14" s="4" t="str">
        <v>贷款余额（亿元）</v>
      </c>
      <c r="I14" s="4" t="str">
        <v>流通卡年ARPU（元）</v>
      </c>
      <c r="J14" s="4" t="str">
        <v>户均贷款（元）</v>
      </c>
      <c r="K14" s="4" t="str">
        <v>月均交易额（元）</v>
      </c>
      <c r="L14" s="4" t="str">
        <v>不良贷款率</v>
      </c>
      <c r="M14" s="4" t="str">
        <v>用信率</v>
      </c>
      <c r="N14" s="4" t="str">
        <v>人均拥有卡量</v>
      </c>
      <c r="O14" s="4" t="str">
        <v>单客户年收入</v>
      </c>
      <c r="P14" s="4"/>
      <c r="Q14" s="4" t="str">
        <v>单卡年收入</v>
      </c>
      <c r="R14" s="4" t="str">
        <v>户均贷款</v>
      </c>
      <c r="S14" s="4" t="str">
        <v>卡均贷款</v>
      </c>
      <c r="T14" s="4"/>
      <c r="U14" s="4"/>
    </row>
    <row customHeight="true" ht="16" r="15">
      <c r="A15" s="12" t="str">
        <v>招行</v>
      </c>
      <c r="B15" s="7">
        <v>29699.92</v>
      </c>
      <c r="C15" s="7">
        <v>395.38</v>
      </c>
      <c r="D15" s="7"/>
      <c r="E15" s="7"/>
      <c r="F15" s="7">
        <v>6245.68</v>
      </c>
      <c r="G15" s="7">
        <v>4694.6</v>
      </c>
      <c r="H15" s="7">
        <v>4912.38</v>
      </c>
      <c r="I15" s="7"/>
      <c r="J15" s="7"/>
      <c r="K15" s="7">
        <v>4630.51</v>
      </c>
      <c r="L15" s="2">
        <v>0.0111</v>
      </c>
      <c r="M15" s="2">
        <f>H15/B15</f>
      </c>
      <c r="N15" s="6">
        <f>F15/G15</f>
      </c>
      <c r="O15" s="1">
        <f>C15*10000/G15</f>
      </c>
      <c r="P15" s="1"/>
      <c r="Q15" s="1">
        <f>C15*10000/F15</f>
      </c>
      <c r="R15" s="1">
        <f>10000*H15/G15</f>
      </c>
      <c r="S15" s="1">
        <f>10000*H15/F15</f>
      </c>
    </row>
    <row customHeight="true" ht="16" r="16">
      <c r="A16" s="12" t="str">
        <v>建行</v>
      </c>
      <c r="B16" s="7">
        <v>26189.12</v>
      </c>
      <c r="C16" s="7">
        <f>202473*5653/4537703</f>
      </c>
      <c r="D16" s="7"/>
      <c r="E16" s="7">
        <v>10693</v>
      </c>
      <c r="F16" s="7">
        <f>E16*0.6</f>
      </c>
      <c r="G16" s="7"/>
      <c r="H16" s="7">
        <v>5636.13</v>
      </c>
      <c r="I16" s="7"/>
      <c r="J16" s="7"/>
      <c r="K16" s="7">
        <f>B16*10000/12/F16</f>
      </c>
      <c r="L16" s="2">
        <v>0.0089</v>
      </c>
      <c r="M16" s="2">
        <f>H16/B16</f>
      </c>
      <c r="N16" s="6"/>
      <c r="O16" s="1"/>
      <c r="P16" s="1"/>
      <c r="Q16" s="1">
        <f>C16*10000/F16</f>
      </c>
      <c r="R16" s="1"/>
      <c r="S16" s="1">
        <f>10000*H16/F16</f>
      </c>
    </row>
    <row customHeight="true" ht="16" r="17">
      <c r="A17" s="12" t="str">
        <v>工行</v>
      </c>
      <c r="B17" s="7">
        <v>24000</v>
      </c>
      <c r="C17" s="7">
        <f>572688*5347.76/14233448</f>
      </c>
      <c r="D17" s="7"/>
      <c r="E17" s="7">
        <v>14300</v>
      </c>
      <c r="F17" s="7">
        <f>E17*0.6</f>
      </c>
      <c r="G17" s="7"/>
      <c r="H17" s="7">
        <v>5347.76</v>
      </c>
      <c r="I17" s="7"/>
      <c r="J17" s="7"/>
      <c r="K17" s="7">
        <f>B17*10000/12/F17</f>
      </c>
      <c r="L17" s="2"/>
      <c r="M17" s="2">
        <f>H17/B17</f>
      </c>
      <c r="N17" s="6"/>
      <c r="O17" s="1"/>
      <c r="P17" s="1"/>
      <c r="Q17" s="1">
        <f>C17*10000/F17</f>
      </c>
      <c r="R17" s="1"/>
      <c r="S17" s="1">
        <f>10000*H17/F17</f>
      </c>
    </row>
    <row customHeight="true" ht="16" r="18">
      <c r="A18" s="12" t="str">
        <v>中信</v>
      </c>
      <c r="B18" s="7">
        <v>14923</v>
      </c>
      <c r="C18" s="7">
        <v>85.01</v>
      </c>
      <c r="D18" s="7">
        <v>305.64</v>
      </c>
      <c r="E18" s="7">
        <v>4957.09</v>
      </c>
      <c r="F18" s="7">
        <f>E18*0.6</f>
      </c>
      <c r="G18" s="7"/>
      <c r="H18" s="7">
        <v>3332.97</v>
      </c>
      <c r="I18" s="7"/>
      <c r="J18" s="7"/>
      <c r="K18" s="7">
        <f>B18*10000/12/F18</f>
      </c>
      <c r="L18" s="2">
        <v>0.0124</v>
      </c>
      <c r="M18" s="2">
        <f>H18/B18</f>
      </c>
      <c r="N18" s="6"/>
      <c r="O18" s="1"/>
      <c r="P18" s="1"/>
      <c r="Q18" s="1">
        <f>C18*10000/F18</f>
      </c>
      <c r="R18" s="1"/>
      <c r="S18" s="1">
        <f>10000*H18/F18</f>
      </c>
    </row>
    <row customHeight="true" ht="16" r="19">
      <c r="A19" s="12" t="str">
        <v>平安</v>
      </c>
      <c r="B19" s="7">
        <v>15472.02</v>
      </c>
      <c r="C19" s="7">
        <f>53278*3036/669762</f>
      </c>
      <c r="D19" s="7"/>
      <c r="E19" s="12"/>
      <c r="F19" s="7">
        <v>3834</v>
      </c>
      <c r="G19" s="7"/>
      <c r="H19" s="7">
        <v>3036</v>
      </c>
      <c r="I19" s="7"/>
      <c r="J19" s="7"/>
      <c r="K19" s="7">
        <f>B19*10000/12/F19</f>
      </c>
      <c r="L19" s="2">
        <v>0.0118</v>
      </c>
      <c r="M19" s="2">
        <f>H19/B19</f>
      </c>
      <c r="N19" s="6"/>
      <c r="O19" s="1"/>
      <c r="P19" s="1"/>
      <c r="Q19" s="1">
        <f>C19*10000/F19</f>
      </c>
      <c r="R19" s="1"/>
      <c r="S19" s="1">
        <f>10000*H19/F19</f>
      </c>
    </row>
    <row customHeight="true" ht="16" r="20">
      <c r="A20" s="12" t="str">
        <v>浦发</v>
      </c>
      <c r="B20" s="7">
        <v>11930.58</v>
      </c>
      <c r="C20" s="7">
        <f>69502*4180.78/1151067</f>
      </c>
      <c r="D20" s="7"/>
      <c r="E20" s="7"/>
      <c r="F20" s="7">
        <v>1810.85</v>
      </c>
      <c r="G20" s="7">
        <v>2279.55</v>
      </c>
      <c r="H20" s="7">
        <v>4180.78</v>
      </c>
      <c r="I20" s="7"/>
      <c r="J20" s="7"/>
      <c r="K20" s="7">
        <f>B20*10000/12/F20</f>
      </c>
      <c r="L20" s="2">
        <v>0.0132</v>
      </c>
      <c r="M20" s="2">
        <f>H20/B20</f>
      </c>
      <c r="N20" s="6">
        <f>F20/G20</f>
      </c>
      <c r="O20" s="1">
        <f>C20*10000/G20</f>
      </c>
      <c r="P20" s="1"/>
      <c r="Q20" s="1">
        <f>C20*10000/F20</f>
      </c>
      <c r="R20" s="1">
        <f>10000*H20/G20</f>
      </c>
      <c r="S20" s="1">
        <f>10000*H20/F20</f>
      </c>
    </row>
    <row customHeight="true" ht="16" r="21">
      <c r="A21" s="12" t="str">
        <v>民生</v>
      </c>
      <c r="B21" s="7">
        <v>16482.61</v>
      </c>
      <c r="C21" s="7">
        <f>505.76*100*2940.19/1105827</f>
      </c>
      <c r="D21" s="7"/>
      <c r="E21" s="7">
        <v>3873.86</v>
      </c>
      <c r="F21" s="7">
        <f>E21*0.6</f>
      </c>
      <c r="G21" s="7"/>
      <c r="H21" s="7">
        <v>2940.19</v>
      </c>
      <c r="I21" s="7"/>
      <c r="J21" s="7"/>
      <c r="K21" s="7">
        <f>B21*10000/12/F21</f>
      </c>
      <c r="L21" s="2">
        <v>0.0207</v>
      </c>
      <c r="M21" s="2">
        <f>H21/B21</f>
      </c>
      <c r="N21" s="6"/>
      <c r="O21" s="1"/>
      <c r="P21" s="1"/>
      <c r="Q21" s="1">
        <f>C21*10000/F21</f>
      </c>
      <c r="R21" s="1"/>
      <c r="S21" s="1">
        <f>10000*H21/F21</f>
      </c>
    </row>
    <row customHeight="true" ht="16" r="22">
      <c r="A22" s="12" t="str">
        <v>光大</v>
      </c>
      <c r="B22" s="7">
        <v>16742.34</v>
      </c>
      <c r="C22" s="7">
        <f>32365*3029.46/830004</f>
      </c>
      <c r="D22" s="7"/>
      <c r="E22" s="7">
        <v>4526.33</v>
      </c>
      <c r="F22" s="7">
        <f>E22*0.6</f>
      </c>
      <c r="G22" s="7"/>
      <c r="H22" s="7">
        <v>3029.46</v>
      </c>
      <c r="I22" s="7"/>
      <c r="J22" s="7"/>
      <c r="K22" s="7">
        <f>B22*10000/12/F22</f>
      </c>
      <c r="L22" s="2">
        <v>0.0109</v>
      </c>
      <c r="M22" s="2">
        <f>H22/B22</f>
      </c>
      <c r="N22" s="6"/>
      <c r="O22" s="1"/>
      <c r="P22" s="1"/>
      <c r="Q22" s="1">
        <f>C22*10000/F22</f>
      </c>
      <c r="R22" s="1"/>
      <c r="S22" s="1">
        <f>10000*H22/F22</f>
      </c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customHeight="true" ht="16" r="24">
      <c r="A24" s="10"/>
      <c r="B24" s="11" t="str">
        <v>2016年</v>
      </c>
      <c r="C24" s="10"/>
      <c r="D24" s="10"/>
      <c r="E24" s="10"/>
      <c r="F24" s="10"/>
      <c r="G24" s="10"/>
      <c r="H24" s="10"/>
      <c r="I24" s="10"/>
      <c r="J24" s="10"/>
      <c r="K24" s="10"/>
      <c r="L24" s="12"/>
      <c r="M24" s="12"/>
      <c r="N24" s="12"/>
    </row>
    <row r="25">
      <c r="A25" s="11"/>
      <c r="B25" s="4" t="str">
        <v>交易额（亿元）</v>
      </c>
      <c r="C25" s="4" t="str">
        <v>利息收入（亿元）</v>
      </c>
      <c r="D25" s="4" t="str">
        <v>非利息收入（亿元）</v>
      </c>
      <c r="E25" s="4" t="str">
        <v>累计发卡（万张）</v>
      </c>
      <c r="F25" s="4" t="str">
        <v>流通卡（万张）</v>
      </c>
      <c r="G25" s="4" t="str">
        <v>流通户数（万户）</v>
      </c>
      <c r="H25" s="4" t="str">
        <v>贷款余额（亿元）</v>
      </c>
      <c r="I25" s="4" t="str">
        <v>流通卡年ARPU（元）</v>
      </c>
      <c r="J25" s="4" t="str">
        <v>户均贷款（元）</v>
      </c>
      <c r="K25" s="4" t="str">
        <v>月均交易额（元）</v>
      </c>
      <c r="L25" s="4" t="str">
        <v>不良贷款率</v>
      </c>
      <c r="M25" s="4" t="str">
        <v>用信率</v>
      </c>
      <c r="N25" s="4" t="str">
        <v>人均拥有卡量</v>
      </c>
      <c r="O25" s="4" t="str">
        <v>单客户年收入</v>
      </c>
      <c r="P25" s="4"/>
      <c r="Q25" s="4" t="str">
        <v>单卡年收入</v>
      </c>
      <c r="R25" s="4" t="str">
        <v>户均贷款</v>
      </c>
      <c r="S25" s="4" t="str">
        <v>卡均贷款</v>
      </c>
      <c r="T25" s="4"/>
      <c r="U25" s="4"/>
    </row>
    <row customHeight="true" ht="16" r="26">
      <c r="A26" s="12" t="str">
        <v>招行</v>
      </c>
      <c r="B26" s="7">
        <v>22748</v>
      </c>
      <c r="C26" s="7">
        <v>322.93</v>
      </c>
      <c r="D26" s="7"/>
      <c r="E26" s="7"/>
      <c r="F26" s="7"/>
      <c r="G26" s="7">
        <v>3730</v>
      </c>
      <c r="H26" s="7"/>
      <c r="I26" s="7"/>
      <c r="J26" s="7"/>
      <c r="K26" s="7"/>
      <c r="L26" s="2">
        <v>0.014</v>
      </c>
      <c r="M26" s="2">
        <f>H26/B26</f>
      </c>
      <c r="N26" s="6"/>
      <c r="O26" s="1">
        <f>C26*10000/G26</f>
      </c>
      <c r="P26" s="1"/>
      <c r="Q26" s="1"/>
      <c r="R26" s="1"/>
      <c r="S26" s="1">
        <v>0</v>
      </c>
    </row>
    <row customHeight="true" ht="16" r="27">
      <c r="A27" s="12" t="str">
        <v>建行</v>
      </c>
      <c r="B27" s="7">
        <v>23998.68</v>
      </c>
      <c r="C27" s="7">
        <f>169141*4437.33/1893844</f>
      </c>
      <c r="D27" s="7"/>
      <c r="E27" s="7">
        <v>9407</v>
      </c>
      <c r="F27" s="7">
        <f>E27*0.6</f>
      </c>
      <c r="G27" s="7"/>
      <c r="H27" s="7">
        <v>4437.33</v>
      </c>
      <c r="I27" s="7"/>
      <c r="J27" s="7"/>
      <c r="K27" s="7">
        <f>B27*10000/12/F27</f>
      </c>
      <c r="L27" s="2">
        <v>0.0098</v>
      </c>
      <c r="M27" s="2">
        <f>H27/B27</f>
      </c>
      <c r="N27" s="6"/>
      <c r="O27" s="1"/>
      <c r="P27" s="1"/>
      <c r="Q27" s="1">
        <f>C27*10000/F27</f>
      </c>
      <c r="R27" s="1"/>
      <c r="S27" s="1">
        <f>10000*H27/F27</f>
      </c>
    </row>
    <row customHeight="true" ht="16" r="28">
      <c r="A28" s="12" t="str">
        <v>工行</v>
      </c>
      <c r="B28" s="7"/>
      <c r="C28" s="7"/>
      <c r="D28" s="7"/>
      <c r="E28" s="7">
        <v>12000</v>
      </c>
      <c r="F28" s="7">
        <f>E28*0.6</f>
      </c>
      <c r="G28" s="7"/>
      <c r="H28" s="7"/>
      <c r="I28" s="7"/>
      <c r="J28" s="7"/>
      <c r="K28" s="7"/>
      <c r="L28" s="2"/>
      <c r="M28" s="2"/>
      <c r="N28" s="6"/>
      <c r="O28" s="1"/>
      <c r="P28" s="1"/>
      <c r="Q28" s="1"/>
      <c r="R28" s="1"/>
      <c r="S28" s="1">
        <v>0</v>
      </c>
    </row>
    <row customHeight="true" ht="16" r="29">
      <c r="A29" s="12" t="str">
        <v>中信</v>
      </c>
      <c r="B29" s="7">
        <v>10741.52</v>
      </c>
      <c r="C29" s="7">
        <v>123.3</v>
      </c>
      <c r="D29" s="7"/>
      <c r="E29" s="7">
        <v>3738.04</v>
      </c>
      <c r="F29" s="7">
        <f>E29*0.6</f>
      </c>
      <c r="G29" s="7"/>
      <c r="H29" s="7">
        <v>2373.1</v>
      </c>
      <c r="I29" s="7"/>
      <c r="J29" s="7"/>
      <c r="K29" s="7">
        <f>B29*10000/12/F29</f>
      </c>
      <c r="L29" s="2">
        <v>0.0148</v>
      </c>
      <c r="M29" s="2">
        <f>H29/B29</f>
      </c>
      <c r="N29" s="6"/>
      <c r="O29" s="1"/>
      <c r="P29" s="1"/>
      <c r="Q29" s="1">
        <f>C29*10000/F29</f>
      </c>
      <c r="R29" s="1"/>
      <c r="S29" s="1">
        <f>10000*H29/F29</f>
      </c>
    </row>
    <row customHeight="true" ht="16" r="30">
      <c r="A30" s="12" t="str">
        <v>平安</v>
      </c>
      <c r="B30" s="7">
        <v>11210.62</v>
      </c>
      <c r="C30" s="7">
        <f>42753*1810.85/472313</f>
      </c>
      <c r="D30" s="7"/>
      <c r="E30" s="7"/>
      <c r="F30" s="7">
        <v>2560.61</v>
      </c>
      <c r="G30" s="7">
        <v>2274.18</v>
      </c>
      <c r="H30" s="7">
        <v>1810.85</v>
      </c>
      <c r="I30" s="7"/>
      <c r="J30" s="7"/>
      <c r="K30" s="7">
        <f>B30*10000/12/F30</f>
      </c>
      <c r="L30" s="2">
        <v>0.0143</v>
      </c>
      <c r="M30" s="2">
        <f>H30/B30</f>
      </c>
      <c r="N30" s="6">
        <f>F30/G30</f>
      </c>
      <c r="O30" s="1">
        <f>C30*10000/G30</f>
      </c>
      <c r="P30" s="1"/>
      <c r="Q30" s="1">
        <f>C30*10000/F30</f>
      </c>
      <c r="R30" s="1">
        <f>10000*H30/G30</f>
      </c>
      <c r="S30" s="1">
        <f>10000*H30/F30</f>
      </c>
    </row>
    <row customHeight="true" ht="16" r="31">
      <c r="A31" s="12" t="str">
        <v>浦发</v>
      </c>
      <c r="B31" s="7">
        <v>6765.88</v>
      </c>
      <c r="C31" s="7">
        <f>36426*2667.76/970199</f>
      </c>
      <c r="D31" s="7"/>
      <c r="E31" s="7"/>
      <c r="F31" s="7">
        <v>1687.59</v>
      </c>
      <c r="G31" s="7">
        <v>1510.77</v>
      </c>
      <c r="H31" s="7">
        <v>2667.76</v>
      </c>
      <c r="I31" s="7"/>
      <c r="J31" s="7"/>
      <c r="K31" s="7">
        <f>B31*10000/12/F31</f>
      </c>
      <c r="L31" s="2">
        <v>0.0121</v>
      </c>
      <c r="M31" s="2">
        <f>H31/B31</f>
      </c>
      <c r="N31" s="6">
        <f>F31/G31</f>
      </c>
      <c r="O31" s="1">
        <f>C31*10000/G31</f>
      </c>
      <c r="P31" s="1"/>
      <c r="Q31" s="1">
        <f>C31*10000/F31</f>
      </c>
      <c r="R31" s="1">
        <f>10000*H31/G31</f>
      </c>
      <c r="S31" s="1">
        <f>10000*H31/F31</f>
      </c>
    </row>
    <row customHeight="true" ht="16" r="32">
      <c r="A32" s="12" t="str">
        <v>民生</v>
      </c>
      <c r="B32" s="7">
        <v>12332.48</v>
      </c>
      <c r="C32" s="7">
        <f>44600*2073.72/801230</f>
      </c>
      <c r="D32" s="7"/>
      <c r="E32" s="7">
        <v>2833.64</v>
      </c>
      <c r="F32" s="7">
        <f>E32*0.6</f>
      </c>
      <c r="G32" s="7"/>
      <c r="H32" s="7">
        <v>2073.72</v>
      </c>
      <c r="I32" s="7"/>
      <c r="J32" s="7"/>
      <c r="K32" s="7">
        <f>B32*10000/12/F32</f>
      </c>
      <c r="L32" s="2">
        <v>0.025</v>
      </c>
      <c r="M32" s="2">
        <f>H32/B32</f>
      </c>
      <c r="N32" s="6"/>
      <c r="O32" s="1"/>
      <c r="P32" s="1"/>
      <c r="Q32" s="1">
        <f>C32*10000/F32</f>
      </c>
      <c r="R32" s="1"/>
      <c r="S32" s="1">
        <f>10000*H32/F32</f>
      </c>
    </row>
    <row customHeight="true" ht="16" r="33">
      <c r="A33" s="12" t="str">
        <v>光大</v>
      </c>
      <c r="B33" s="7">
        <v>12773.87</v>
      </c>
      <c r="C33" s="7">
        <f>27035*2142.13/663131</f>
      </c>
      <c r="D33" s="7"/>
      <c r="E33" s="7">
        <v>3595.87</v>
      </c>
      <c r="F33" s="7">
        <f>E33*0.6</f>
      </c>
      <c r="G33" s="7"/>
      <c r="H33" s="7">
        <v>2142.13</v>
      </c>
      <c r="I33" s="7"/>
      <c r="J33" s="7"/>
      <c r="K33" s="7">
        <f>B33*10000/12/F33</f>
      </c>
      <c r="L33" s="2">
        <v>0.0082</v>
      </c>
      <c r="M33" s="2">
        <f>H33/B33</f>
      </c>
      <c r="N33" s="6"/>
      <c r="O33" s="1"/>
      <c r="P33" s="1"/>
      <c r="Q33" s="1">
        <f>C33*10000/F33</f>
      </c>
      <c r="R33" s="1"/>
      <c r="S33" s="1">
        <f>10000*H33/F33</f>
      </c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