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同业指标趋势" sheetId="1" r:id="rId1"/>
    <sheet name="2025同业与城商行更新" sheetId="2" r:id="rId2"/>
    <sheet name="四指标敏感性" sheetId="3" r:id="rId3"/>
    <sheet name="情景与盈亏平衡" sheetId="4" r:id="rId4"/>
    <sheet name="口径与来源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/>
  <c r="E15" i="3"/>
</calcChain>
</file>

<file path=xl/sharedStrings.xml><?xml version="1.0" encoding="utf-8"?>
<sst xmlns="http://schemas.openxmlformats.org/spreadsheetml/2006/main" count="668" uniqueCount="301">
  <si>
    <t>同业指标趋势更新（用户各行指标趋势变化.xlsx，8家行2016-2018，2022仅建行）</t>
  </si>
  <si>
    <t>来源：用户提供xlsx（t1核验与知识库版0差异，E1年报口径整理）｜江苏银行为2026-07银联口径（E1/E2）｜期间+口径错配：横向比较一律'仅参照，不可比'</t>
  </si>
  <si>
    <t>【月均交易额】单位:元/月</t>
  </si>
  <si>
    <t>银行</t>
  </si>
  <si>
    <t>2016</t>
  </si>
  <si>
    <t>2017</t>
  </si>
  <si>
    <t>2018</t>
  </si>
  <si>
    <t>2022</t>
  </si>
  <si>
    <t>2016→2018方向</t>
  </si>
  <si>
    <t>招行</t>
  </si>
  <si>
    <t>—</t>
  </si>
  <si>
    <t>建行</t>
  </si>
  <si>
    <t>↓</t>
  </si>
  <si>
    <t>工行</t>
  </si>
  <si>
    <t>中信</t>
  </si>
  <si>
    <t>平安</t>
  </si>
  <si>
    <t>↑</t>
  </si>
  <si>
    <t>浦发</t>
  </si>
  <si>
    <t>民生</t>
  </si>
  <si>
    <t>光大</t>
  </si>
  <si>
    <t>2018区间[min,max]</t>
  </si>
  <si>
    <t>2667.0000</t>
  </si>
  <si>
    <t/>
  </si>
  <si>
    <t>6200.0000</t>
  </si>
  <si>
    <t>n=8</t>
  </si>
  <si>
    <t>2018均值/中位数</t>
  </si>
  <si>
    <t>4203.7500</t>
  </si>
  <si>
    <t>3965.0000</t>
  </si>
  <si>
    <t>江苏银行2026-07(参照)</t>
  </si>
  <si>
    <t>573(有效卡均消费,元/月)</t>
  </si>
  <si>
    <t>银联p6</t>
  </si>
  <si>
    <t>↑仅参照，不可直接横向比较（期间2016-2018 vs 2026；口径：年报/银联；分母：流通卡/有效卡）</t>
  </si>
  <si>
    <t>【分期率=卡均贷款/卡年交易额】单位:小数</t>
  </si>
  <si>
    <t>0.1517</t>
  </si>
  <si>
    <t>0.2399</t>
  </si>
  <si>
    <t>0.1956</t>
  </si>
  <si>
    <t>0.1951</t>
  </si>
  <si>
    <t>分期渗透率39.68%(≠分期率)</t>
  </si>
  <si>
    <t>银联p54</t>
  </si>
  <si>
    <t>【不良率】单位:小数</t>
  </si>
  <si>
    <t>→</t>
  </si>
  <si>
    <t>0.0098</t>
  </si>
  <si>
    <t>0.0215</t>
  </si>
  <si>
    <t>n=6</t>
  </si>
  <si>
    <t>0.0154</t>
  </si>
  <si>
    <t>0.0157</t>
  </si>
  <si>
    <t>3.41%(仅本金)</t>
  </si>
  <si>
    <t>银联p7</t>
  </si>
  <si>
    <t>【单卡年收入】单位:元/年</t>
  </si>
  <si>
    <t>286.2345</t>
  </si>
  <si>
    <t>1143.8793</t>
  </si>
  <si>
    <t>597.8355</t>
  </si>
  <si>
    <t>586.8452</t>
  </si>
  <si>
    <t>737.9(61.49×12)</t>
  </si>
  <si>
    <t>【卡均贷款】单位:元</t>
  </si>
  <si>
    <t>6824.8514</t>
  </si>
  <si>
    <t>13228.0936</t>
  </si>
  <si>
    <t>9836.4976</t>
  </si>
  <si>
    <t>10086.7823</t>
  </si>
  <si>
    <t>5,739(户均透支)</t>
  </si>
  <si>
    <t>【单客户年收入】单位:元/年</t>
  </si>
  <si>
    <t>792.3411</t>
  </si>
  <si>
    <t>1087.1033</t>
  </si>
  <si>
    <t>n=2</t>
  </si>
  <si>
    <t>939.7222</t>
  </si>
  <si>
    <t>未提供</t>
  </si>
  <si>
    <t>【人均拥有卡量=流通卡/流通户数】单位:张/户</t>
  </si>
  <si>
    <t>1.2785</t>
  </si>
  <si>
    <t>1.4528</t>
  </si>
  <si>
    <t>1.3657</t>
  </si>
  <si>
    <t>1.07(卡户比)</t>
  </si>
  <si>
    <t>2025年同业更新（E3二手公开整理）与城商行2026信用卡余额月度（E0/E1行内周报口径）</t>
  </si>
  <si>
    <t>项目</t>
  </si>
  <si>
    <t>数值</t>
  </si>
  <si>
    <t>来源/证据</t>
  </si>
  <si>
    <t>口径与限制</t>
  </si>
  <si>
    <t>行业卡量</t>
  </si>
  <si>
    <t>2025末信用卡和借贷合一卡6.96亿张，较2022Q3峰值8.07亿张减少1.11亿张</t>
  </si>
  <si>
    <t>央行口径，转引自《2025年上市银行年报之信用卡专题解读》(E3)</t>
  </si>
  <si>
    <t>连续14季下降趋势与银联江苏有效卡-6.69%方向一致</t>
  </si>
  <si>
    <t>行业透支</t>
  </si>
  <si>
    <t>2025末信用卡行业透支规模约8.2万亿元（测算）</t>
  </si>
  <si>
    <t>同上(E3)</t>
  </si>
  <si>
    <t>年报披露测算</t>
  </si>
  <si>
    <t>行业额度使用率</t>
  </si>
  <si>
    <t>上市银行整体均值约34%（测算）</t>
  </si>
  <si>
    <t>江苏2026-07为22.87%，低约11pp</t>
  </si>
  <si>
    <t>行业资产收益率</t>
  </si>
  <si>
    <t>披露收入银行信用卡资产收益率约8%-10%（测算）；零售贷款3%-6%</t>
  </si>
  <si>
    <t>江苏行内对客收益率4.90%(2026H1)显著低于该区间，口径差异待核</t>
  </si>
  <si>
    <t>招行2025</t>
  </si>
  <si>
    <t>业务收入800.13亿（利息596.60+非利息203.53）；全年交易额超4万亿；新生成不良393.01亿(-0.74亿)；双卡客户占比68.37%(+1.12pp)</t>
  </si>
  <si>
    <t>收入口径=年报信用卡业务收入</t>
  </si>
  <si>
    <t>中信2025</t>
  </si>
  <si>
    <t>信用卡业务收入477.49亿；新发卡优质客群占比59.21%(+8.23pp)</t>
  </si>
  <si>
    <t>客群结构改善带动早期风险指标下降</t>
  </si>
  <si>
    <t>光大2025</t>
  </si>
  <si>
    <t>信用卡业务收入269.03亿</t>
  </si>
  <si>
    <t>交行2025</t>
  </si>
  <si>
    <t>汽车分期余额1176.42亿(+23.19%)；汽车分期客户100.56万户(+39.55%)</t>
  </si>
  <si>
    <t>场景分期为同业增长主线</t>
  </si>
  <si>
    <t>浦发2025</t>
  </si>
  <si>
    <t>新能源车分期贷款余额292.61亿(+181.73亿)</t>
  </si>
  <si>
    <t>上海银行2025</t>
  </si>
  <si>
    <t>信用卡交易额966.05亿；汽车分期交易额+57.64%</t>
  </si>
  <si>
    <t>区域性行参照</t>
  </si>
  <si>
    <t>区域行2025透支增速</t>
  </si>
  <si>
    <t>徽商+21%、南京+40%、齐鲁+30%（同比）</t>
  </si>
  <si>
    <t>江苏2026H1透支余额较年初-55.7亿(20260621个贷周报E0)，方向相反</t>
  </si>
  <si>
    <t>不良处置2025</t>
  </si>
  <si>
    <t>超20家银行挂牌信用卡不良批量转让，未偿本息超1000亿；16家发行74单ABS入池超2200亿</t>
  </si>
  <si>
    <t>行业加速出清</t>
  </si>
  <si>
    <t>政策</t>
  </si>
  <si>
    <t>账单分期纳入消费贷财政贴息，覆盖超4亿持卡人，贴息拉动约20%新分期客户转化</t>
  </si>
  <si>
    <t>江苏银行可关注分期转化政策红利</t>
  </si>
  <si>
    <t>江苏银行产品</t>
  </si>
  <si>
    <t>绿色低碳信用卡累计发卡超40万张（年报披露）</t>
  </si>
  <si>
    <t>与银联2026-07有效32.3万张可互证</t>
  </si>
  <si>
    <t>城商行信用卡余额月度快照（jsbank_internal.db retail_loan_snapshot + 个贷周报，E0/E1行内口径）</t>
  </si>
  <si>
    <t>2025-12</t>
  </si>
  <si>
    <t>2026-03</t>
  </si>
  <si>
    <t>2026-04</t>
  </si>
  <si>
    <t>2026-06</t>
  </si>
  <si>
    <t>备注</t>
  </si>
  <si>
    <t>江苏银行(JSBANK)</t>
  </si>
  <si>
    <t>231.6</t>
  </si>
  <si>
    <t>E0：个贷周报2026-06末231.6亿(当月-5.8亿,较年初-55.7亿,6月处置2.7亿)；与复盘2026H1期末213.98亿口径差待核</t>
  </si>
  <si>
    <t>北京银行(BJBANK)</t>
  </si>
  <si>
    <t>2025-12为年报口径，2026月度口径跳变（待核），不可直接比较</t>
  </si>
  <si>
    <t>宁波银行(NBCB)</t>
  </si>
  <si>
    <t>同上：口径跳变待核</t>
  </si>
  <si>
    <t>上海银行(SHBANK)</t>
  </si>
  <si>
    <t>口径待核</t>
  </si>
  <si>
    <t>南京银行(NJCB)</t>
  </si>
  <si>
    <t>⚠️ 跨行月度快照为行内个贷条线日报口径，各行统计口径/年报调整未统一，仅江苏银行自身序列可作趋势参考；不得用于跨行横向结论。</t>
  </si>
  <si>
    <t>四指标敏感性分析（分期率/CAC/坏账率/单卡消费）——沿用t2参数表（基准I，首年，每新增激活卡）</t>
  </si>
  <si>
    <t>全部为E4参数区间/标准化弹性（方向性判断），非利润预测；待补P0参数到位后重算；单卡消费=新增激活卡月均消费（基准664元/月=存量激活卡均948.8×k1 0.7；银联有效卡均573元/月）</t>
  </si>
  <si>
    <t>变量</t>
  </si>
  <si>
    <t>−30%</t>
  </si>
  <si>
    <t>−20%</t>
  </si>
  <si>
    <t>−10%</t>
  </si>
  <si>
    <t>基准(0)</t>
  </si>
  <si>
    <t>+10%</t>
  </si>
  <si>
    <t>+20%</t>
  </si>
  <si>
    <t>+30%</t>
  </si>
  <si>
    <t>单位</t>
  </si>
  <si>
    <t>说明</t>
  </si>
  <si>
    <t>CAC（UE_afterCAC）</t>
  </si>
  <si>
    <t>元/卡</t>
  </si>
  <si>
    <t>ΔUE_afterCAC=−ΔCAC，弹性恒为−1</t>
  </si>
  <si>
    <t>交易分期率</t>
  </si>
  <si>
    <t>比率</t>
  </si>
  <si>
    <t>Δ=可分期交易额5,579元×Δ分期率×净贡献率3.5%（净口径已扣资金/服务/奖励/风险）</t>
  </si>
  <si>
    <t>坏账率（存量口径）</t>
  </si>
  <si>
    <t>Δ=风险暴露×Δ坏账率×LGD；每+1pp≈−33~−55元/卡</t>
  </si>
  <si>
    <t>单卡消费</t>
  </si>
  <si>
    <t>元/月</t>
  </si>
  <si>
    <t>增量消费净贡献率≈0.31%（交换0.199%+分期转化−增量权益/资金/风险）</t>
  </si>
  <si>
    <t>表值=ΔUE_preCAC（元/激活卡/年，相对基准+24.4）；CAC行=UE_afterCAC绝对值。所有E4参数标注方向性：负值=恶化、正值=改善。</t>
  </si>
  <si>
    <t>标准化弹性（基准变动→ΔUE，用于比较杠杆）</t>
  </si>
  <si>
    <t>基准变动</t>
  </si>
  <si>
    <t>ΔUE_preCAC(元/卡)</t>
  </si>
  <si>
    <t>弹性区间(参数区间内)</t>
  </si>
  <si>
    <t>CAC</t>
  </si>
  <si>
    <t>+100元/卡</t>
  </si>
  <si>
    <t>-100.0（afterCAC）</t>
  </si>
  <si>
    <t>线性：ΔUE_afterCAC=-ΔCAC</t>
  </si>
  <si>
    <t>弹性恒为-1</t>
  </si>
  <si>
    <t>+10pp</t>
  </si>
  <si>
    <t>+19.5</t>
  </si>
  <si>
    <t>+9.8~+39.0（净贡献率2%-5%）</t>
  </si>
  <si>
    <t>#NAME?</t>
  </si>
  <si>
    <t>坏账率(存量)</t>
  </si>
  <si>
    <t>+1pp</t>
  </si>
  <si>
    <t>-33~-55</t>
  </si>
  <si>
    <t>随风险暴露区间</t>
  </si>
  <si>
    <t>+100元/月</t>
  </si>
  <si>
    <t>+3.7</t>
  </si>
  <si>
    <t>+1.2~+7.3（净贡献率0.5%-3.0%）</t>
  </si>
  <si>
    <t>增量消费净贡献率≈0.31%</t>
  </si>
  <si>
    <t>风险倍数m1</t>
  </si>
  <si>
    <t>-0.1（0.3→0.2）</t>
  </si>
  <si>
    <t>+37.4</t>
  </si>
  <si>
    <t>0.1→+74.7（方向性）</t>
  </si>
  <si>
    <t>客群质量改善的直接收益</t>
  </si>
  <si>
    <t>留存率(生命周期)</t>
  </si>
  <si>
    <t>+5pp</t>
  </si>
  <si>
    <t>LTV +30~+70</t>
  </si>
  <si>
    <t>方向性</t>
  </si>
  <si>
    <t>生命周期视图效应</t>
  </si>
  <si>
    <t>CAC × 交易分期率（首年UE_afterCAC，元/激活卡；消费=664基准，坏账率3.41%）</t>
  </si>
  <si>
    <t>分期率\CAC</t>
  </si>
  <si>
    <t>CAC=0</t>
  </si>
  <si>
    <t>CAC=100</t>
  </si>
  <si>
    <t>CAC=200</t>
  </si>
  <si>
    <t>CAC=500</t>
  </si>
  <si>
    <t>CAC=800</t>
  </si>
  <si>
    <t>CAC=1200</t>
  </si>
  <si>
    <t>CAC=2000</t>
  </si>
  <si>
    <t>10%</t>
  </si>
  <si>
    <t>20%</t>
  </si>
  <si>
    <t>30%</t>
  </si>
  <si>
    <t>40%</t>
  </si>
  <si>
    <t>50%</t>
  </si>
  <si>
    <t>注：全网格为负（除CAC=0且分期率≥30%微正）。盈亏平衡CAC=preCAC：基准24.4元；分期率40%→43.9元；分期率50%→63.5元；分期率10%→-14.7元（无解）。</t>
  </si>
  <si>
    <t>单卡消费 × 坏账率（首年UE_afterCAC，元/激活卡；CAC=500，分期率30%）</t>
  </si>
  <si>
    <t>坏账率\单卡消费</t>
  </si>
  <si>
    <t>400元/月</t>
  </si>
  <si>
    <t>500元/月</t>
  </si>
  <si>
    <t>664元/月</t>
  </si>
  <si>
    <t>800元/月</t>
  </si>
  <si>
    <t>1000元/月</t>
  </si>
  <si>
    <t>2.00%</t>
  </si>
  <si>
    <t>3.41%</t>
  </si>
  <si>
    <t>5.00%</t>
  </si>
  <si>
    <t>7.42%</t>
  </si>
  <si>
    <t>10.00%</t>
  </si>
  <si>
    <t>注：模型假设风险敞口（垫款）随消费按比例放大（E4）——坏账率≤3.41%时消费提升微弱改善；坏账率≥5%后消费提升反而放大损失（反事实风险，研究计划7.4）。</t>
  </si>
  <si>
    <t>情景分析与盈亏平衡（E4情景，锚定E2；基准I首年+LTV1-3年）</t>
  </si>
  <si>
    <t>情景</t>
  </si>
  <si>
    <t>分期率</t>
  </si>
  <si>
    <t>坏账率(m1)</t>
  </si>
  <si>
    <t>UE_preCAC首年</t>
  </si>
  <si>
    <t>UE_afterCAC首年</t>
  </si>
  <si>
    <t>LTV1-3y preCAC</t>
  </si>
  <si>
    <t>LTV1-3y afterCAC</t>
  </si>
  <si>
    <t>逻辑</t>
  </si>
  <si>
    <t>基准</t>
  </si>
  <si>
    <t>664</t>
  </si>
  <si>
    <t>延续当前产品/渠道/客群/风险趋势</t>
  </si>
  <si>
    <t>改善A(经营)</t>
  </si>
  <si>
    <t>730</t>
  </si>
  <si>
    <t>分期率+10pp、消费+10%、CAC降至300</t>
  </si>
  <si>
    <t>改善B(客群)</t>
  </si>
  <si>
    <t>优质客群m1=0.2、CAC 300</t>
  </si>
  <si>
    <t>改善A+B</t>
  </si>
  <si>
    <t>经营+客群双改善</t>
  </si>
  <si>
    <t>承压</t>
  </si>
  <si>
    <t>570</t>
  </si>
  <si>
    <t>CAC升、分期率降、消费降、坏账5%</t>
  </si>
  <si>
    <t>压力</t>
  </si>
  <si>
    <t>15%</t>
  </si>
  <si>
    <t>400</t>
  </si>
  <si>
    <t>坏账率7.42%(银联2027-06未核销预测)、消费400、留存80%</t>
  </si>
  <si>
    <t>注：LTV按留存率、k爬坡(0.7/0.9/1.0)、风险收敛(m1→1.5×m1→2.0×m1)、折现8%计算（E4）；压力情景留存80%；分期率增量=可分期交易额×Δ分期率×净贡献率3.5%。</t>
  </si>
  <si>
    <t>盈亏平衡（首年，基准I，E4）</t>
  </si>
  <si>
    <t>盈亏平衡项</t>
  </si>
  <si>
    <t>基准值</t>
  </si>
  <si>
    <t>区间</t>
  </si>
  <si>
    <t>含义</t>
  </si>
  <si>
    <t>最高可承受CAC</t>
  </si>
  <si>
    <t>≈24元/卡（基准）；全区间[-89, +138]元/卡</t>
  </si>
  <si>
    <t>下限=m1=0.5&amp;分期率10%；上限=m1=0.1&amp;分期率50%；最优组合也仅138元——任何现实CAC(200+)均超过</t>
  </si>
  <si>
    <t>任何现实CAC(200+)均超过——现行结构下新增获客无正UE空间</t>
  </si>
  <si>
    <t>最低单卡消费(激活卡月均)</t>
  </si>
  <si>
    <t>CAC=500时≈13,600元/月（分期率30%）；区间[5,233~13,609]元/月（分期率50%~30%）</t>
  </si>
  <si>
    <t>CAC=200→[2,093~5,443]元/月；分期率≤20%时无解（增量消费净贡献率为负）</t>
  </si>
  <si>
    <t>增量消费净贡献率仅≈0.31%，单靠消费量无法修复UE</t>
  </si>
  <si>
    <t>最高可承受坏账率(存量)</t>
  </si>
  <si>
    <t>CAC=0时≈4.15%（基准）；区间[2.96%~5.34%]（分期率10%~50%）</t>
  </si>
  <si>
    <t>CAC≥200全区间无解（坏账率降为0仍亏损）；当前3.41%距基准上限仅0.74pp</t>
  </si>
  <si>
    <t>当前3.41%距上限仅0.74pp；风险恶化空间极小</t>
  </si>
  <si>
    <t>分期率盈亏平衡贡献</t>
  </si>
  <si>
    <t>+10pp→+19.5元/卡</t>
  </si>
  <si>
    <t>净贡献率2%-5%→+9.8~+39.0</t>
  </si>
  <si>
    <t>分期深度改善不足以覆盖CAC</t>
  </si>
  <si>
    <t>LTV 1-3y盈亏平衡CAC</t>
  </si>
  <si>
    <t>基准为负（无解）</t>
  </si>
  <si>
    <t>优质客群(m=0.2/0.3/0.4,r=90%)≈+69.5元/卡</t>
  </si>
  <si>
    <t>生命周期维度需CAC&lt;70元才可盈亏平衡</t>
  </si>
  <si>
    <t>结论（E4）：四指标杠杆排序 CAC管控 &gt; 客群风险(m1/坏账率) &gt; 分期深度 &gt; 单卡消费量；改善A+B仍无法在CAC≥200下扭亏——必须叠加收入结构转型（场景分期/年费/综合经营）或成本重构（权益/运营），或证明CAC可压至100元以下。</t>
  </si>
  <si>
    <t>口径、来源与证据等级（t3）</t>
  </si>
  <si>
    <t>数据项</t>
  </si>
  <si>
    <t>来源</t>
  </si>
  <si>
    <t>证据等级</t>
  </si>
  <si>
    <t>口径说明/限制</t>
  </si>
  <si>
    <t>8家行同业指标2016-2018(2022建行)</t>
  </si>
  <si>
    <t>用户提供《各行指标趋势变化.xlsx》三年数据+趋势分析（t1核验0差异）</t>
  </si>
  <si>
    <t>E1</t>
  </si>
  <si>
    <t>年报口径整理；分期率=卡均贷款/卡年交易额（代理指标，非交易/余额分期率）；副本sheet含中行及4000占位值，未采用</t>
  </si>
  <si>
    <t>江苏银行2026-07锚点</t>
  </si>
  <si>
    <t>银联报告p6-7、p54</t>
  </si>
  <si>
    <t>E1/E2</t>
  </si>
  <si>
    <t>银联口径（有效卡分母）；不得转载；与同业2016-2018仅参照不可比</t>
  </si>
  <si>
    <t>2025同业更新</t>
  </si>
  <si>
    <t>wechat《2025年上市银行年报之信用卡专题解读》（银联数据曹光宇，《中国信用卡》2026年第6期）</t>
  </si>
  <si>
    <t>E3</t>
  </si>
  <si>
    <t>二手公开整理；行业透支/收益率/额度使用率为测算值；招行/中信/光大收入为年报披露口径</t>
  </si>
  <si>
    <t>城商行2026月度信用卡余额</t>
  </si>
  <si>
    <t>jsbank_internal.db retail_loan_snapshot + 20260621个贷数据更新.docx</t>
  </si>
  <si>
    <t>E0/E1</t>
  </si>
  <si>
    <t>行内个贷条线日报口径；BJBANK/NBCB/南京/上海存在年报-月度口径跳变，仅江苏自身序列可用；江苏2026-06末231.6亿与复盘213.98亿口径差待核</t>
  </si>
  <si>
    <t>四指标敏感性参数</t>
  </si>
  <si>
    <t>02_UE与产品组合模型.xlsx 参数表（t2）</t>
  </si>
  <si>
    <t>E0-E4</t>
  </si>
  <si>
    <t>基准I（存量收入结构，每新增激活卡）；全部E4情景；待补P0参数以区间替代</t>
  </si>
  <si>
    <t>情景/盈亏平衡</t>
  </si>
  <si>
    <t>本模型计算（锚定E2实际值）</t>
  </si>
  <si>
    <t>E4</t>
  </si>
  <si>
    <t>非利润预测；方向性判断；P0数据到位后必须重算</t>
  </si>
  <si>
    <t>纪律：H1不与全年直接比较(Q01)；分期渗透率≠分期率(Q04)；有效卡≠活跃卡≠客户(Q05)；银联2027-06预测7.42%仅作压力情景(Q09)；禁止编造缺失数字。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</si>
</sst>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.00"/>
      <name val="Calibri"/>
      <family val="2"/>
      <scheme val="minor"/>
    </font>
    <font>
      <b/>
      <sz val="13.00"/>
    </font>
    <font>
      <b/>
      <sz val="10.00"/>
    </font>
    <font>
      <i/>
      <sz val="9.00"/>
      <color rgb="FF666666"/>
    </font>
    <font>
      <sz val="11.00"/>
      <color rgb="FF000000"/>
      <name val="Calibri"/>
      <family val="2"/>
      <scheme val="minor"/>
    </font>
    <font>
      <b/>
      <sz val="10.00"/>
      <color rgb="FFFFFFFF"/>
    </font>
    <font>
      <b/>
      <sz val="11.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7">
    <xf fontId="0"/>
    <xf numFmtId="0" fontId="1" applyFont="1" applyAlignment="1">
      <alignment/>
    </xf>
    <xf numFmtId="0" fontId="2" applyFont="1" applyAlignment="1">
      <alignment/>
    </xf>
    <xf numFmtId="0" fontId="3" applyFont="1" borderId="1" applyBorder="1" applyAlignment="1">
      <alignment vertical="top" wrapText="1"/>
    </xf>
    <xf numFmtId="0" fontId="4" applyFont="1" borderId="2" applyBorder="1" applyAlignment="1">
      <alignment/>
    </xf>
    <xf numFmtId="0" fontId="4" applyFont="1" borderId="3" applyBorder="1" applyAlignment="1">
      <alignment/>
    </xf>
    <xf numFmtId="0" fontId="5" applyFont="1" fillId="2" applyFill="1" borderId="1" applyBorder="1" applyAlignment="1">
      <alignment/>
    </xf>
    <xf numFmtId="0" fontId="5" applyFont="1" fillId="2" applyFill="1" borderId="1" applyBorder="1" applyAlignment="1">
      <alignment vertical="top" wrapText="1"/>
    </xf>
    <xf numFmtId="0" fontId="3" applyFont="1" borderId="1" applyBorder="1" applyAlignment="1">
      <alignment/>
    </xf>
    <xf numFmtId="0" fontId="3" applyFont="1" applyAlignment="1">
      <alignment/>
    </xf>
    <xf numFmtId="0" fontId="2" applyFont="1" fillId="3" applyFill="1" applyAlignment="1">
      <alignment/>
    </xf>
    <xf numFmtId="0" fontId="5" applyFont="1" fillId="2" applyFill="1" borderId="1" applyBorder="1" applyAlignment="1">
      <alignment vertical="center" wrapText="1"/>
    </xf>
    <xf numFmtId="0" fontId="4" applyFont="1" borderId="1" applyBorder="1" applyAlignment="1">
      <alignment/>
    </xf>
    <xf numFmtId="0" fontId="4" applyFont="1" fillId="4" applyFill="1" borderId="1" applyBorder="1" applyAlignment="1">
      <alignment/>
    </xf>
    <xf numFmtId="0" fontId="4" applyFont="1" borderId="1" applyBorder="1" applyAlignment="1">
      <alignment vertical="top" wrapText="1"/>
    </xf>
    <xf numFmtId="0" fontId="6" applyFont="1" applyAlignment="1">
      <alignment/>
    </xf>
    <xf numFmtId="0" fontId="7" applyFont="1" applyAlignment="1">
      <alignment/>
    </xf>
  </cellStyleXfs>
  <cellXfs count="17">
    <xf numFmtId="0" fontId="0" fillId="0" borderId="0" xfId="0"/>
    <xf xfId="0" quotePrefix="0" pivotButton="0" numFmtId="0" fontId="1" applyFont="1" applyAlignment="1">
      <alignment/>
    </xf>
    <xf xfId="0" quotePrefix="0" pivotButton="0" numFmtId="0" fontId="3" applyFont="1" applyAlignment="1">
      <alignment/>
    </xf>
    <xf xfId="0" quotePrefix="0" pivotButton="0" numFmtId="0" fontId="2" applyFont="1" fillId="3" applyFill="1" applyAlignment="1">
      <alignment/>
    </xf>
    <xf xfId="0" quotePrefix="0" pivotButton="0" numFmtId="0" fontId="5" applyFont="1" fillId="2" applyFill="1" borderId="1" applyBorder="1" applyAlignment="1">
      <alignment vertical="center" wrapText="1"/>
    </xf>
    <xf xfId="0" quotePrefix="0" pivotButton="0" numFmtId="0" fontId="4" applyFont="1" borderId="1" applyBorder="1" applyAlignment="1">
      <alignment/>
    </xf>
    <xf xfId="0" quotePrefix="0" pivotButton="0" numFmtId="0" fontId="4" applyFont="1" fillId="4" applyFill="1" borderId="1" applyBorder="1" applyAlignment="1">
      <alignment/>
    </xf>
    <xf xfId="0" quotePrefix="0" pivotButton="0" numFmtId="0" fontId="4" applyFont="1" borderId="1" applyBorder="1" applyAlignment="1">
      <alignment vertical="top" wrapText="1"/>
    </xf>
    <xf xfId="0" quotePrefix="0" pivotButton="0" numFmtId="0" fontId="6" applyFont="1" applyAlignment="1">
      <alignment/>
    </xf>
    <xf xfId="0" quotePrefix="0" pivotButton="0" numFmtId="0" fontId="3" applyFont="1" borderId="1" applyBorder="1" applyAlignment="1">
      <alignment vertical="top" wrapText="1"/>
    </xf>
    <xf xfId="0" quotePrefix="0" pivotButton="0" numFmtId="0" fontId="4" applyFont="1" borderId="2" applyBorder="1" applyAlignment="1">
      <alignment/>
    </xf>
    <xf xfId="0" quotePrefix="0" pivotButton="0" numFmtId="0" fontId="4" applyFont="1" borderId="3" applyBorder="1" applyAlignment="1">
      <alignment/>
    </xf>
    <xf xfId="0" quotePrefix="0" pivotButton="0" numFmtId="0" fontId="5" applyFont="1" fillId="2" applyFill="1" borderId="1" applyBorder="1" applyAlignment="1">
      <alignment/>
    </xf>
    <xf xfId="0" quotePrefix="0" pivotButton="0" numFmtId="0" fontId="5" applyFont="1" fillId="2" applyFill="1" borderId="1" applyBorder="1" applyAlignment="1">
      <alignment vertical="top" wrapText="1"/>
    </xf>
    <xf xfId="0" quotePrefix="0" pivotButton="0" numFmtId="0" fontId="7" applyFont="1" applyAlignment="1">
      <alignment/>
    </xf>
    <xf xfId="0" quotePrefix="0" pivotButton="0" numFmtId="0" fontId="3" applyFont="1" borderId="1" applyBorder="1" applyAlignment="1">
      <alignment/>
    </xf>
    <xf xfId="0" quotePrefix="0" pivotButton="0" numFmtId="0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theme" Target="theme/theme1.xml"/>
<Relationship Id="rId7" Type="http://schemas.openxmlformats.org/officeDocument/2006/relationships/sharedStrings" Target="sharedStrings.xml"/>
<Relationship Id="rId8" Type="http://schemas.openxmlformats.org/officeDocument/2006/relationships/styles" Target="styles.xml"/>
<Relationship Id="rId9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F107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34.00" customWidth="1" hidden="0"/>
    <col min="2" max="6" width="14.00" customWidth="1" hidden="0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s" s="5">
        <v>10</v>
      </c>
      <c r="C6" s="5">
        <v>4630.51</v>
      </c>
      <c r="D6" s="5">
        <v>3750</v>
      </c>
      <c r="E6" t="s" s="5">
        <v>10</v>
      </c>
      <c r="F6" t="s" s="5">
        <v>10</v>
      </c>
    </row>
    <row r="7">
      <c r="A7" t="s" s="5">
        <v>11</v>
      </c>
      <c r="B7" s="5">
        <v>3543.265653236951</v>
      </c>
      <c r="C7" s="5">
        <v>3401.643858391263</v>
      </c>
      <c r="D7" s="5">
        <v>3424</v>
      </c>
      <c r="E7" s="5">
        <v>2872</v>
      </c>
      <c r="F7" t="s" s="5">
        <v>12</v>
      </c>
    </row>
    <row r="8">
      <c r="A8" t="s" s="5">
        <v>13</v>
      </c>
      <c r="B8" t="s" s="5">
        <v>10</v>
      </c>
      <c r="C8" s="5">
        <v>2331.002331002331</v>
      </c>
      <c r="D8" s="5">
        <v>2667</v>
      </c>
      <c r="E8" t="s" s="5">
        <v>10</v>
      </c>
      <c r="F8" t="s" s="5">
        <v>10</v>
      </c>
    </row>
    <row r="9">
      <c r="A9" t="s" s="5">
        <v>14</v>
      </c>
      <c r="B9" s="5">
        <v>3991.069592026243</v>
      </c>
      <c r="C9" s="5">
        <v>4181.160497164444</v>
      </c>
      <c r="D9" s="5">
        <v>3916</v>
      </c>
      <c r="E9" t="s" s="5">
        <v>10</v>
      </c>
      <c r="F9" t="s" s="5">
        <v>12</v>
      </c>
    </row>
    <row r="10">
      <c r="A10" t="s" s="5">
        <v>15</v>
      </c>
      <c r="B10" s="5">
        <v>3648.421014263528</v>
      </c>
      <c r="C10" s="5">
        <v>3362.897756911841</v>
      </c>
      <c r="D10" s="5">
        <v>4407</v>
      </c>
      <c r="E10" t="s" s="5">
        <v>10</v>
      </c>
      <c r="F10" t="s" s="5">
        <v>16</v>
      </c>
    </row>
    <row r="11">
      <c r="A11" t="s" s="5">
        <v>17</v>
      </c>
      <c r="B11" s="5">
        <v>3340.997122128795</v>
      </c>
      <c r="C11" s="5">
        <v>5490.322224369771</v>
      </c>
      <c r="D11" s="5">
        <v>4014</v>
      </c>
      <c r="E11" t="s" s="5">
        <v>10</v>
      </c>
      <c r="F11" t="s" s="5">
        <v>16</v>
      </c>
    </row>
    <row r="12">
      <c r="A12" t="s" s="5">
        <v>18</v>
      </c>
      <c r="B12" s="5">
        <v>6044.679085714644</v>
      </c>
      <c r="C12" s="5">
        <v>5909.484051795597</v>
      </c>
      <c r="D12" s="5">
        <v>6200</v>
      </c>
      <c r="E12" t="s" s="5">
        <v>10</v>
      </c>
      <c r="F12" t="s" s="5">
        <v>16</v>
      </c>
    </row>
    <row r="13">
      <c r="A13" t="s" s="5">
        <v>19</v>
      </c>
      <c r="B13" s="5">
        <v>4933.850809709782</v>
      </c>
      <c r="C13" s="5">
        <v>5137.329801406438</v>
      </c>
      <c r="D13" s="5">
        <v>5252</v>
      </c>
      <c r="E13" t="s" s="5">
        <v>10</v>
      </c>
      <c r="F13" t="s" s="5">
        <v>16</v>
      </c>
    </row>
    <row r="14">
      <c r="A14" t="s" s="5">
        <v>20</v>
      </c>
      <c r="B14" t="s" s="5">
        <v>21</v>
      </c>
      <c r="C14" t="s" s="5">
        <v>22</v>
      </c>
      <c r="D14" t="s" s="5">
        <v>23</v>
      </c>
      <c r="E14" t="s" s="5">
        <v>22</v>
      </c>
      <c r="F14" t="s" s="5">
        <v>24</v>
      </c>
    </row>
    <row r="15">
      <c r="A15" t="s" s="5">
        <v>25</v>
      </c>
      <c r="B15" t="s" s="5">
        <v>26</v>
      </c>
      <c r="C15" t="s" s="5">
        <v>27</v>
      </c>
      <c r="D15" t="s" s="5">
        <v>22</v>
      </c>
      <c r="E15" t="s" s="5">
        <v>22</v>
      </c>
      <c r="F15" t="s" s="5">
        <v>22</v>
      </c>
    </row>
    <row r="16">
      <c r="A16" t="s" s="6">
        <v>28</v>
      </c>
      <c r="B16" t="s" s="6">
        <v>29</v>
      </c>
      <c r="C16" t="s" s="6">
        <v>22</v>
      </c>
      <c r="D16" t="s" s="6">
        <v>22</v>
      </c>
      <c r="E16" t="s" s="6">
        <v>22</v>
      </c>
      <c r="F16" t="s" s="6">
        <v>30</v>
      </c>
    </row>
    <row r="17">
      <c r="A17" t="s" s="2">
        <v>31</v>
      </c>
    </row>
    <row r="19">
      <c r="A19" t="s" s="3">
        <v>32</v>
      </c>
    </row>
    <row r="20">
      <c r="A20" t="s" s="4">
        <v>3</v>
      </c>
      <c r="B20" t="s" s="4">
        <v>4</v>
      </c>
      <c r="C20" t="s" s="4">
        <v>5</v>
      </c>
      <c r="D20" t="s" s="4">
        <v>6</v>
      </c>
      <c r="E20" t="s" s="4">
        <v>7</v>
      </c>
      <c r="F20" t="s" s="4">
        <v>8</v>
      </c>
    </row>
    <row r="21">
      <c r="A21" t="s" s="5">
        <v>9</v>
      </c>
      <c r="B21" t="s" s="5">
        <v>10</v>
      </c>
      <c r="C21" s="5">
        <v>0.1654004455230856</v>
      </c>
      <c r="D21" s="5">
        <v>0.1516578470972388</v>
      </c>
      <c r="E21" t="s" s="5">
        <v>10</v>
      </c>
      <c r="F21" t="s" s="5">
        <v>10</v>
      </c>
    </row>
    <row r="22">
      <c r="A22" t="s" s="5">
        <v>11</v>
      </c>
      <c r="B22" s="5">
        <v>0.1848989194405692</v>
      </c>
      <c r="C22" s="5">
        <v>0.2152088348138464</v>
      </c>
      <c r="D22" s="5">
        <v>0.2176566860558365</v>
      </c>
      <c r="E22" s="5">
        <v>0.294</v>
      </c>
      <c r="F22" t="s" s="5">
        <v>16</v>
      </c>
    </row>
    <row r="23">
      <c r="A23" t="s" s="5">
        <v>13</v>
      </c>
      <c r="B23" t="s" s="5">
        <v>10</v>
      </c>
      <c r="C23" s="5">
        <v>0.2228233333333333</v>
      </c>
      <c r="D23" s="5">
        <v>0.2160234482758621</v>
      </c>
      <c r="E23" t="s" s="5">
        <v>10</v>
      </c>
      <c r="F23" t="s" s="5">
        <v>10</v>
      </c>
    </row>
    <row r="24">
      <c r="A24" t="s" s="5">
        <v>14</v>
      </c>
      <c r="B24" s="5">
        <v>0.2209277644132301</v>
      </c>
      <c r="C24" s="5">
        <v>0.2233445017757823</v>
      </c>
      <c r="D24" s="5">
        <v>0.2123624184094509</v>
      </c>
      <c r="E24" t="s" s="5">
        <v>10</v>
      </c>
      <c r="F24" t="s" s="5">
        <v>12</v>
      </c>
    </row>
    <row r="25">
      <c r="A25" t="s" s="5">
        <v>15</v>
      </c>
      <c r="B25" s="5">
        <v>0.1615298707832394</v>
      </c>
      <c r="C25" s="5">
        <v>0.1962251858516212</v>
      </c>
      <c r="D25" s="5">
        <v>0.1736985408507832</v>
      </c>
      <c r="E25" t="s" s="5">
        <v>10</v>
      </c>
      <c r="F25" t="s" s="5">
        <v>16</v>
      </c>
    </row>
    <row r="26">
      <c r="A26" t="s" s="5">
        <v>17</v>
      </c>
      <c r="B26" s="5">
        <v>0.3942960856533075</v>
      </c>
      <c r="C26" s="5">
        <v>0.3504255451118051</v>
      </c>
      <c r="D26" s="5">
        <v>0.2398628339892725</v>
      </c>
      <c r="E26" t="s" s="5">
        <v>10</v>
      </c>
      <c r="F26" t="s" s="5">
        <v>12</v>
      </c>
    </row>
    <row r="27">
      <c r="A27" t="s" s="5">
        <v>18</v>
      </c>
      <c r="B27" s="5">
        <v>0.1681510936972936</v>
      </c>
      <c r="C27" s="5">
        <v>0.1783813364509625</v>
      </c>
      <c r="D27" s="5">
        <v>0.1778099813485559</v>
      </c>
      <c r="E27" t="s" s="5">
        <v>10</v>
      </c>
      <c r="F27" t="s" s="5">
        <v>16</v>
      </c>
    </row>
    <row r="28">
      <c r="A28" t="s" s="5">
        <v>19</v>
      </c>
      <c r="B28" s="5">
        <v>0.1676962424073519</v>
      </c>
      <c r="C28" s="5">
        <v>0.1809460326334312</v>
      </c>
      <c r="D28" s="5">
        <v>0.175399303090216</v>
      </c>
      <c r="E28" t="s" s="5">
        <v>10</v>
      </c>
      <c r="F28" t="s" s="5">
        <v>16</v>
      </c>
    </row>
    <row r="29">
      <c r="A29" t="s" s="5">
        <v>20</v>
      </c>
      <c r="B29" t="s" s="5">
        <v>33</v>
      </c>
      <c r="C29" t="s" s="5">
        <v>22</v>
      </c>
      <c r="D29" t="s" s="5">
        <v>34</v>
      </c>
      <c r="E29" t="s" s="5">
        <v>22</v>
      </c>
      <c r="F29" t="s" s="5">
        <v>24</v>
      </c>
    </row>
    <row r="30">
      <c r="A30" t="s" s="5">
        <v>25</v>
      </c>
      <c r="B30" t="s" s="5">
        <v>35</v>
      </c>
      <c r="C30" t="s" s="5">
        <v>36</v>
      </c>
      <c r="D30" t="s" s="5">
        <v>22</v>
      </c>
      <c r="E30" t="s" s="5">
        <v>22</v>
      </c>
      <c r="F30" t="s" s="5">
        <v>22</v>
      </c>
    </row>
    <row r="31">
      <c r="A31" t="s" s="6">
        <v>28</v>
      </c>
      <c r="B31" t="s" s="6">
        <v>37</v>
      </c>
      <c r="C31" t="s" s="6">
        <v>22</v>
      </c>
      <c r="D31" t="s" s="6">
        <v>22</v>
      </c>
      <c r="E31" t="s" s="6">
        <v>22</v>
      </c>
      <c r="F31" t="s" s="6">
        <v>38</v>
      </c>
    </row>
    <row r="32">
      <c r="A32" t="s" s="2">
        <v>31</v>
      </c>
    </row>
    <row r="34">
      <c r="A34" t="s" s="3">
        <v>39</v>
      </c>
    </row>
    <row r="35">
      <c r="A35" t="s" s="4">
        <v>3</v>
      </c>
      <c r="B35" t="s" s="4">
        <v>4</v>
      </c>
      <c r="C35" t="s" s="4">
        <v>5</v>
      </c>
      <c r="D35" t="s" s="4">
        <v>6</v>
      </c>
      <c r="E35" t="s" s="4">
        <v>7</v>
      </c>
      <c r="F35" t="s" s="4">
        <v>8</v>
      </c>
    </row>
    <row r="36">
      <c r="A36" t="s" s="5">
        <v>9</v>
      </c>
      <c r="B36" s="5">
        <v>0.014</v>
      </c>
      <c r="C36" s="5">
        <v>0.0111</v>
      </c>
      <c r="D36" s="5">
        <v>0.0111</v>
      </c>
      <c r="E36" t="s" s="5">
        <v>10</v>
      </c>
      <c r="F36" t="s" s="5">
        <v>12</v>
      </c>
    </row>
    <row r="37">
      <c r="A37" t="s" s="5">
        <v>11</v>
      </c>
      <c r="B37" s="5">
        <v>0.0098</v>
      </c>
      <c r="C37" s="5">
        <v>0.0089</v>
      </c>
      <c r="D37" s="5">
        <v>0.0098</v>
      </c>
      <c r="E37" t="s" s="5">
        <v>10</v>
      </c>
      <c r="F37" t="s" s="5">
        <v>40</v>
      </c>
    </row>
    <row r="38">
      <c r="A38" t="s" s="5">
        <v>13</v>
      </c>
      <c r="B38" t="s" s="5">
        <v>10</v>
      </c>
      <c r="C38" t="s" s="5">
        <v>10</v>
      </c>
      <c r="D38" t="s" s="5">
        <v>10</v>
      </c>
      <c r="E38" t="s" s="5">
        <v>10</v>
      </c>
      <c r="F38" t="s" s="5">
        <v>10</v>
      </c>
    </row>
    <row r="39">
      <c r="A39" t="s" s="5">
        <v>14</v>
      </c>
      <c r="B39" s="5">
        <v>0.0148</v>
      </c>
      <c r="C39" s="5">
        <v>0.0124</v>
      </c>
      <c r="D39" s="5">
        <v>0.0185</v>
      </c>
      <c r="E39" t="s" s="5">
        <v>10</v>
      </c>
      <c r="F39" t="s" s="5">
        <v>16</v>
      </c>
    </row>
    <row r="40">
      <c r="A40" t="s" s="5">
        <v>15</v>
      </c>
      <c r="B40" s="5">
        <v>0.0143</v>
      </c>
      <c r="C40" s="5">
        <v>0.0118</v>
      </c>
      <c r="D40" s="5">
        <v>0.0132</v>
      </c>
      <c r="E40" t="s" s="5">
        <v>10</v>
      </c>
      <c r="F40" t="s" s="5">
        <v>12</v>
      </c>
    </row>
    <row r="41">
      <c r="A41" t="s" s="5">
        <v>17</v>
      </c>
      <c r="B41" s="5">
        <v>0.0121</v>
      </c>
      <c r="C41" s="5">
        <v>0.0132</v>
      </c>
      <c r="D41" s="5">
        <v>0.0181</v>
      </c>
      <c r="E41" t="s" s="5">
        <v>10</v>
      </c>
      <c r="F41" t="s" s="5">
        <v>16</v>
      </c>
    </row>
    <row r="42">
      <c r="A42" t="s" s="5">
        <v>18</v>
      </c>
      <c r="B42" s="5">
        <v>0.025</v>
      </c>
      <c r="C42" s="5">
        <v>0.0207</v>
      </c>
      <c r="D42" s="5">
        <v>0.0215</v>
      </c>
      <c r="E42" t="s" s="5">
        <v>10</v>
      </c>
      <c r="F42" t="s" s="5">
        <v>12</v>
      </c>
    </row>
    <row r="43">
      <c r="A43" t="s" s="5">
        <v>19</v>
      </c>
      <c r="B43" s="5">
        <v>0.008200000000000001</v>
      </c>
      <c r="C43" s="5">
        <v>0.0109</v>
      </c>
      <c r="D43" t="s" s="5">
        <v>10</v>
      </c>
      <c r="E43" t="s" s="5">
        <v>10</v>
      </c>
      <c r="F43" t="s" s="5">
        <v>10</v>
      </c>
    </row>
    <row r="44">
      <c r="A44" t="s" s="5">
        <v>20</v>
      </c>
      <c r="B44" t="s" s="5">
        <v>41</v>
      </c>
      <c r="C44" t="s" s="5">
        <v>22</v>
      </c>
      <c r="D44" t="s" s="5">
        <v>42</v>
      </c>
      <c r="E44" t="s" s="5">
        <v>22</v>
      </c>
      <c r="F44" t="s" s="5">
        <v>43</v>
      </c>
    </row>
    <row r="45">
      <c r="A45" t="s" s="5">
        <v>25</v>
      </c>
      <c r="B45" t="s" s="5">
        <v>44</v>
      </c>
      <c r="C45" t="s" s="5">
        <v>45</v>
      </c>
      <c r="D45" t="s" s="5">
        <v>22</v>
      </c>
      <c r="E45" t="s" s="5">
        <v>22</v>
      </c>
      <c r="F45" t="s" s="5">
        <v>22</v>
      </c>
    </row>
    <row r="46">
      <c r="A46" t="s" s="6">
        <v>28</v>
      </c>
      <c r="B46" t="s" s="6">
        <v>46</v>
      </c>
      <c r="C46" t="s" s="6">
        <v>22</v>
      </c>
      <c r="D46" t="s" s="6">
        <v>22</v>
      </c>
      <c r="E46" t="s" s="6">
        <v>22</v>
      </c>
      <c r="F46" t="s" s="6">
        <v>47</v>
      </c>
    </row>
    <row r="47">
      <c r="A47" t="s" s="2">
        <v>31</v>
      </c>
    </row>
    <row r="49">
      <c r="A49" t="s" s="3">
        <v>48</v>
      </c>
    </row>
    <row r="50">
      <c r="A50" t="s" s="4">
        <v>3</v>
      </c>
      <c r="B50" t="s" s="4">
        <v>4</v>
      </c>
      <c r="C50" t="s" s="4">
        <v>5</v>
      </c>
      <c r="D50" t="s" s="4">
        <v>6</v>
      </c>
      <c r="E50" t="s" s="4">
        <v>7</v>
      </c>
      <c r="F50" t="s" s="4">
        <v>8</v>
      </c>
    </row>
    <row r="51">
      <c r="A51" t="s" s="5">
        <v>9</v>
      </c>
      <c r="B51" t="s" s="5">
        <v>10</v>
      </c>
      <c r="C51" s="5">
        <v>633.0455610918266</v>
      </c>
      <c r="D51" s="5">
        <v>545.3926485450344</v>
      </c>
      <c r="E51" t="s" s="5">
        <v>10</v>
      </c>
      <c r="F51" t="s" s="5">
        <v>10</v>
      </c>
    </row>
    <row r="52">
      <c r="A52" t="s" s="5">
        <v>11</v>
      </c>
      <c r="B52" s="5">
        <v>702.1405014884673</v>
      </c>
      <c r="C52" s="5">
        <v>393.1508498663833</v>
      </c>
      <c r="D52" s="5">
        <v>387.853552060992</v>
      </c>
      <c r="E52" t="s" s="5">
        <v>10</v>
      </c>
      <c r="F52" t="s" s="5">
        <v>12</v>
      </c>
    </row>
    <row r="53">
      <c r="A53" t="s" s="5">
        <v>13</v>
      </c>
      <c r="B53" t="s" s="5">
        <v>10</v>
      </c>
      <c r="C53" s="5">
        <v>250.7798190463866</v>
      </c>
      <c r="D53" s="5">
        <v>302.9428828254113</v>
      </c>
      <c r="E53" t="s" s="5">
        <v>10</v>
      </c>
      <c r="F53" t="s" s="5">
        <v>10</v>
      </c>
    </row>
    <row r="54">
      <c r="A54" t="s" s="5">
        <v>14</v>
      </c>
      <c r="B54" s="5">
        <v>549.7533466736578</v>
      </c>
      <c r="C54" s="5">
        <v>285.81957021828</v>
      </c>
      <c r="D54" s="5">
        <v>1143.8793025028</v>
      </c>
      <c r="E54" t="s" s="5">
        <v>10</v>
      </c>
      <c r="F54" t="s" s="5">
        <v>16</v>
      </c>
    </row>
    <row r="55">
      <c r="A55" t="s" s="5">
        <v>15</v>
      </c>
      <c r="B55" s="5">
        <v>640.1411352566632</v>
      </c>
      <c r="C55" s="5">
        <v>629.9079196885107</v>
      </c>
      <c r="D55" s="5">
        <v>628.2976771543307</v>
      </c>
      <c r="E55" t="s" s="5">
        <v>10</v>
      </c>
      <c r="F55" t="s" s="5">
        <v>12</v>
      </c>
    </row>
    <row r="56">
      <c r="A56" t="s" s="5">
        <v>17</v>
      </c>
      <c r="B56" s="5">
        <v>593.5133251246428</v>
      </c>
      <c r="C56" s="5">
        <v>1394.028125916104</v>
      </c>
      <c r="D56" s="5">
        <v>850.2650412227092</v>
      </c>
      <c r="E56" t="s" s="5">
        <v>10</v>
      </c>
      <c r="F56" t="s" s="5">
        <v>16</v>
      </c>
    </row>
    <row r="57">
      <c r="A57" t="s" s="5">
        <v>18</v>
      </c>
      <c r="B57" s="5">
        <v>678.940706803068</v>
      </c>
      <c r="C57" s="5">
        <v>578.5454912123673</v>
      </c>
      <c r="D57" s="5">
        <v>637.8184624269196</v>
      </c>
      <c r="E57" t="s" s="5">
        <v>10</v>
      </c>
      <c r="F57" t="s" s="5">
        <v>12</v>
      </c>
    </row>
    <row r="58">
      <c r="A58" t="s" s="5">
        <v>19</v>
      </c>
      <c r="B58" s="5">
        <v>404.7786836548223</v>
      </c>
      <c r="C58" s="5">
        <v>434.9738859045342</v>
      </c>
      <c r="D58" s="5">
        <v>286.2344760133031</v>
      </c>
      <c r="E58" t="s" s="5">
        <v>10</v>
      </c>
      <c r="F58" t="s" s="5">
        <v>12</v>
      </c>
    </row>
    <row r="59">
      <c r="A59" t="s" s="5">
        <v>20</v>
      </c>
      <c r="B59" t="s" s="5">
        <v>49</v>
      </c>
      <c r="C59" t="s" s="5">
        <v>22</v>
      </c>
      <c r="D59" t="s" s="5">
        <v>50</v>
      </c>
      <c r="E59" t="s" s="5">
        <v>22</v>
      </c>
      <c r="F59" t="s" s="5">
        <v>24</v>
      </c>
    </row>
    <row r="60">
      <c r="A60" t="s" s="5">
        <v>25</v>
      </c>
      <c r="B60" t="s" s="5">
        <v>51</v>
      </c>
      <c r="C60" t="s" s="5">
        <v>52</v>
      </c>
      <c r="D60" t="s" s="5">
        <v>22</v>
      </c>
      <c r="E60" t="s" s="5">
        <v>22</v>
      </c>
      <c r="F60" t="s" s="5">
        <v>22</v>
      </c>
    </row>
    <row r="61">
      <c r="A61" t="s" s="6">
        <v>28</v>
      </c>
      <c r="B61" t="s" s="6">
        <v>53</v>
      </c>
      <c r="C61" t="s" s="6">
        <v>22</v>
      </c>
      <c r="D61" t="s" s="6">
        <v>22</v>
      </c>
      <c r="E61" t="s" s="6">
        <v>22</v>
      </c>
      <c r="F61" t="s" s="6">
        <v>47</v>
      </c>
    </row>
    <row r="62">
      <c r="A62" t="s" s="2">
        <v>31</v>
      </c>
    </row>
    <row r="64">
      <c r="A64" t="s" s="3">
        <v>54</v>
      </c>
    </row>
    <row r="65">
      <c r="A65" t="s" s="4">
        <v>3</v>
      </c>
      <c r="B65" t="s" s="4">
        <v>4</v>
      </c>
      <c r="C65" t="s" s="4">
        <v>5</v>
      </c>
      <c r="D65" t="s" s="4">
        <v>6</v>
      </c>
      <c r="E65" t="s" s="4">
        <v>7</v>
      </c>
      <c r="F65" t="s" s="4">
        <v>8</v>
      </c>
    </row>
    <row r="66">
      <c r="A66" t="s" s="5">
        <v>9</v>
      </c>
      <c r="B66" t="s" s="5">
        <v>10</v>
      </c>
      <c r="C66" s="5">
        <v>7865.244456968657</v>
      </c>
      <c r="D66" s="5">
        <v>6824.851371933137</v>
      </c>
      <c r="E66" t="s" s="5">
        <v>10</v>
      </c>
      <c r="F66" t="s" s="5">
        <v>10</v>
      </c>
    </row>
    <row r="67">
      <c r="A67" t="s" s="5">
        <v>11</v>
      </c>
      <c r="B67" s="5">
        <v>7861.75188689274</v>
      </c>
      <c r="C67" s="5">
        <v>8784.765734592724</v>
      </c>
      <c r="D67" s="5">
        <v>8942.73750686436</v>
      </c>
      <c r="E67" t="s" s="5">
        <v>10</v>
      </c>
      <c r="F67" t="s" s="5">
        <v>16</v>
      </c>
    </row>
    <row r="68">
      <c r="A68" t="s" s="5">
        <v>13</v>
      </c>
      <c r="B68" t="s" s="5">
        <v>10</v>
      </c>
      <c r="C68" s="5">
        <v>6232.820512820513</v>
      </c>
      <c r="D68" s="5">
        <v>6914.657836644592</v>
      </c>
      <c r="E68" t="s" s="5">
        <v>10</v>
      </c>
      <c r="F68" t="s" s="5">
        <v>10</v>
      </c>
    </row>
    <row r="69">
      <c r="A69" t="s" s="5">
        <v>14</v>
      </c>
      <c r="B69" s="5">
        <v>10580.85699100776</v>
      </c>
      <c r="C69" s="5">
        <v>11206.0704970053</v>
      </c>
      <c r="D69" s="5">
        <v>10986.93795865899</v>
      </c>
      <c r="E69" t="s" s="5">
        <v>10</v>
      </c>
      <c r="F69" t="s" s="5">
        <v>16</v>
      </c>
    </row>
    <row r="70">
      <c r="A70" t="s" s="5">
        <v>15</v>
      </c>
      <c r="B70" s="5">
        <v>7071.947699962118</v>
      </c>
      <c r="C70" s="5">
        <v>7918.622848200313</v>
      </c>
      <c r="D70" s="5">
        <v>9186.626552795031</v>
      </c>
      <c r="E70" t="s" s="5">
        <v>10</v>
      </c>
      <c r="F70" t="s" s="5">
        <v>16</v>
      </c>
    </row>
    <row r="71">
      <c r="A71" t="s" s="5">
        <v>17</v>
      </c>
      <c r="B71" s="5">
        <v>15808.10504921219</v>
      </c>
      <c r="C71" s="5">
        <v>23087.38989977083</v>
      </c>
      <c r="D71" s="5">
        <v>11554.33078424471</v>
      </c>
      <c r="E71" t="s" s="5">
        <v>10</v>
      </c>
      <c r="F71" t="s" s="5">
        <v>12</v>
      </c>
    </row>
    <row r="72">
      <c r="A72" t="s" s="5">
        <v>18</v>
      </c>
      <c r="B72" s="5">
        <v>12197.03279174489</v>
      </c>
      <c r="C72" s="5">
        <v>12649.69995473937</v>
      </c>
      <c r="D72" s="5">
        <v>13228.09361578455</v>
      </c>
      <c r="E72" t="s" s="5">
        <v>10</v>
      </c>
      <c r="F72" t="s" s="5">
        <v>16</v>
      </c>
    </row>
    <row r="73">
      <c r="A73" t="s" s="5">
        <v>19</v>
      </c>
      <c r="B73" s="5">
        <v>9928.658896641611</v>
      </c>
      <c r="C73" s="5">
        <v>11154.95335072785</v>
      </c>
      <c r="D73" s="5">
        <v>11053.74489417723</v>
      </c>
      <c r="E73" t="s" s="5">
        <v>10</v>
      </c>
      <c r="F73" t="s" s="5">
        <v>16</v>
      </c>
    </row>
    <row r="74">
      <c r="A74" t="s" s="5">
        <v>20</v>
      </c>
      <c r="B74" t="s" s="5">
        <v>55</v>
      </c>
      <c r="C74" t="s" s="5">
        <v>22</v>
      </c>
      <c r="D74" t="s" s="5">
        <v>56</v>
      </c>
      <c r="E74" t="s" s="5">
        <v>22</v>
      </c>
      <c r="F74" t="s" s="5">
        <v>24</v>
      </c>
    </row>
    <row r="75">
      <c r="A75" t="s" s="5">
        <v>25</v>
      </c>
      <c r="B75" t="s" s="5">
        <v>57</v>
      </c>
      <c r="C75" t="s" s="5">
        <v>58</v>
      </c>
      <c r="D75" t="s" s="5">
        <v>22</v>
      </c>
      <c r="E75" t="s" s="5">
        <v>22</v>
      </c>
      <c r="F75" t="s" s="5">
        <v>22</v>
      </c>
    </row>
    <row r="76">
      <c r="A76" t="s" s="6">
        <v>28</v>
      </c>
      <c r="B76" t="s" s="6">
        <v>59</v>
      </c>
      <c r="C76" t="s" s="6">
        <v>22</v>
      </c>
      <c r="D76" t="s" s="6">
        <v>22</v>
      </c>
      <c r="E76" t="s" s="6">
        <v>22</v>
      </c>
      <c r="F76" t="s" s="6">
        <v>47</v>
      </c>
    </row>
    <row r="77">
      <c r="A77" t="s" s="2">
        <v>31</v>
      </c>
    </row>
    <row r="79">
      <c r="A79" t="s" s="3">
        <v>60</v>
      </c>
    </row>
    <row r="80">
      <c r="A80" t="s" s="4">
        <v>3</v>
      </c>
      <c r="B80" t="s" s="4">
        <v>4</v>
      </c>
      <c r="C80" t="s" s="4">
        <v>5</v>
      </c>
      <c r="D80" t="s" s="4">
        <v>6</v>
      </c>
      <c r="E80" t="s" s="4">
        <v>7</v>
      </c>
      <c r="F80" t="s" s="4">
        <v>8</v>
      </c>
    </row>
    <row r="81">
      <c r="A81" t="s" s="5">
        <v>9</v>
      </c>
      <c r="B81" s="5">
        <v>865.7640750670241</v>
      </c>
      <c r="C81" s="5">
        <v>842.2016785242619</v>
      </c>
      <c r="D81" s="5">
        <v>792.3411104390368</v>
      </c>
      <c r="E81" t="s" s="5">
        <v>10</v>
      </c>
      <c r="F81" t="s" s="5">
        <v>12</v>
      </c>
    </row>
    <row r="82">
      <c r="A82" t="s" s="5">
        <v>11</v>
      </c>
      <c r="B82" t="s" s="5">
        <v>10</v>
      </c>
      <c r="C82" t="s" s="5">
        <v>10</v>
      </c>
      <c r="D82" t="s" s="5">
        <v>10</v>
      </c>
      <c r="E82" t="s" s="5">
        <v>10</v>
      </c>
      <c r="F82" t="s" s="5">
        <v>10</v>
      </c>
    </row>
    <row r="83">
      <c r="A83" t="s" s="5">
        <v>13</v>
      </c>
      <c r="B83" t="s" s="5">
        <v>10</v>
      </c>
      <c r="C83" t="s" s="5">
        <v>10</v>
      </c>
      <c r="D83" t="s" s="5">
        <v>10</v>
      </c>
      <c r="E83" t="s" s="5">
        <v>10</v>
      </c>
      <c r="F83" t="s" s="5">
        <v>10</v>
      </c>
    </row>
    <row r="84">
      <c r="A84" t="s" s="5">
        <v>14</v>
      </c>
      <c r="B84" t="s" s="5">
        <v>10</v>
      </c>
      <c r="C84" t="s" s="5">
        <v>10</v>
      </c>
      <c r="D84" t="s" s="5">
        <v>10</v>
      </c>
      <c r="E84" t="s" s="5">
        <v>10</v>
      </c>
      <c r="F84" t="s" s="5">
        <v>10</v>
      </c>
    </row>
    <row r="85">
      <c r="A85" t="s" s="5">
        <v>15</v>
      </c>
      <c r="B85" s="5">
        <v>720.7660749586948</v>
      </c>
      <c r="C85" t="s" s="5">
        <v>10</v>
      </c>
      <c r="D85" t="s" s="5">
        <v>10</v>
      </c>
      <c r="E85" t="s" s="5">
        <v>10</v>
      </c>
      <c r="F85" t="s" s="5">
        <v>10</v>
      </c>
    </row>
    <row r="86">
      <c r="A86" t="s" s="5">
        <v>17</v>
      </c>
      <c r="B86" s="5">
        <v>662.977920098424</v>
      </c>
      <c r="C86" s="5">
        <v>1107.400948351726</v>
      </c>
      <c r="D86" s="5">
        <v>1087.103262537074</v>
      </c>
      <c r="E86" t="s" s="5">
        <v>10</v>
      </c>
      <c r="F86" t="s" s="5">
        <v>16</v>
      </c>
    </row>
    <row r="87">
      <c r="A87" t="s" s="5">
        <v>18</v>
      </c>
      <c r="B87" t="s" s="5">
        <v>10</v>
      </c>
      <c r="C87" t="s" s="5">
        <v>10</v>
      </c>
      <c r="D87" t="s" s="5">
        <v>10</v>
      </c>
      <c r="E87" t="s" s="5">
        <v>10</v>
      </c>
      <c r="F87" t="s" s="5">
        <v>10</v>
      </c>
    </row>
    <row r="88">
      <c r="A88" t="s" s="5">
        <v>19</v>
      </c>
      <c r="B88" t="s" s="5">
        <v>10</v>
      </c>
      <c r="C88" t="s" s="5">
        <v>10</v>
      </c>
      <c r="D88" t="s" s="5">
        <v>10</v>
      </c>
      <c r="E88" t="s" s="5">
        <v>10</v>
      </c>
      <c r="F88" t="s" s="5">
        <v>10</v>
      </c>
    </row>
    <row r="89">
      <c r="A89" t="s" s="5">
        <v>20</v>
      </c>
      <c r="B89" t="s" s="5">
        <v>61</v>
      </c>
      <c r="C89" t="s" s="5">
        <v>22</v>
      </c>
      <c r="D89" t="s" s="5">
        <v>62</v>
      </c>
      <c r="E89" t="s" s="5">
        <v>22</v>
      </c>
      <c r="F89" t="s" s="5">
        <v>63</v>
      </c>
    </row>
    <row r="90">
      <c r="A90" t="s" s="5">
        <v>25</v>
      </c>
      <c r="B90" t="s" s="5">
        <v>64</v>
      </c>
      <c r="C90" t="s" s="5">
        <v>64</v>
      </c>
      <c r="D90" t="s" s="5">
        <v>22</v>
      </c>
      <c r="E90" t="s" s="5">
        <v>22</v>
      </c>
      <c r="F90" t="s" s="5">
        <v>22</v>
      </c>
    </row>
    <row r="91">
      <c r="A91" t="s" s="6">
        <v>28</v>
      </c>
      <c r="B91" t="s" s="6">
        <v>65</v>
      </c>
      <c r="C91" t="s" s="6">
        <v>22</v>
      </c>
      <c r="D91" t="s" s="6">
        <v>22</v>
      </c>
      <c r="E91" t="s" s="6">
        <v>22</v>
      </c>
      <c r="F91" t="s" s="6">
        <v>10</v>
      </c>
    </row>
    <row r="92">
      <c r="A92" t="s" s="2">
        <v>31</v>
      </c>
    </row>
    <row r="94">
      <c r="A94" t="s" s="3">
        <v>66</v>
      </c>
    </row>
    <row r="95">
      <c r="A95" t="s" s="4">
        <v>3</v>
      </c>
      <c r="B95" t="s" s="4">
        <v>4</v>
      </c>
      <c r="C95" t="s" s="4">
        <v>5</v>
      </c>
      <c r="D95" t="s" s="4">
        <v>6</v>
      </c>
      <c r="E95" t="s" s="4">
        <v>7</v>
      </c>
      <c r="F95" t="s" s="4">
        <v>8</v>
      </c>
    </row>
    <row r="96">
      <c r="A96" t="s" s="5">
        <v>9</v>
      </c>
      <c r="B96" t="s" s="5">
        <v>10</v>
      </c>
      <c r="C96" s="5">
        <v>1.330396625910621</v>
      </c>
      <c r="D96" s="5">
        <v>1.452790228384626</v>
      </c>
      <c r="E96" t="s" s="5">
        <v>10</v>
      </c>
      <c r="F96" t="s" s="5">
        <v>10</v>
      </c>
    </row>
    <row r="97">
      <c r="A97" t="s" s="5">
        <v>11</v>
      </c>
      <c r="B97" t="s" s="5">
        <v>10</v>
      </c>
      <c r="C97" t="s" s="5">
        <v>10</v>
      </c>
      <c r="D97" t="s" s="5">
        <v>10</v>
      </c>
      <c r="E97" t="s" s="5">
        <v>10</v>
      </c>
      <c r="F97" t="s" s="5">
        <v>10</v>
      </c>
    </row>
    <row r="98">
      <c r="A98" t="s" s="5">
        <v>13</v>
      </c>
      <c r="B98" t="s" s="5">
        <v>10</v>
      </c>
      <c r="C98" t="s" s="5">
        <v>10</v>
      </c>
      <c r="D98" t="s" s="5">
        <v>10</v>
      </c>
      <c r="E98" t="s" s="5">
        <v>10</v>
      </c>
      <c r="F98" t="s" s="5">
        <v>10</v>
      </c>
    </row>
    <row r="99">
      <c r="A99" t="s" s="5">
        <v>14</v>
      </c>
      <c r="B99" t="s" s="5">
        <v>10</v>
      </c>
      <c r="C99" t="s" s="5">
        <v>10</v>
      </c>
      <c r="D99" t="s" s="5">
        <v>10</v>
      </c>
      <c r="E99" t="s" s="5">
        <v>10</v>
      </c>
      <c r="F99" t="s" s="5">
        <v>10</v>
      </c>
    </row>
    <row r="100">
      <c r="A100" t="s" s="5">
        <v>15</v>
      </c>
      <c r="B100" s="5">
        <v>1.125948693595054</v>
      </c>
      <c r="C100" t="s" s="5">
        <v>10</v>
      </c>
      <c r="D100" t="s" s="5">
        <v>10</v>
      </c>
      <c r="E100" t="s" s="5">
        <v>10</v>
      </c>
      <c r="F100" t="s" s="5">
        <v>10</v>
      </c>
    </row>
    <row r="101">
      <c r="A101" t="s" s="5">
        <v>17</v>
      </c>
      <c r="B101" s="5">
        <v>1.117039655275124</v>
      </c>
      <c r="C101" s="5">
        <v>0.7943892434910398</v>
      </c>
      <c r="D101" s="5">
        <v>1.278546347117581</v>
      </c>
      <c r="E101" t="s" s="5">
        <v>10</v>
      </c>
      <c r="F101" t="s" s="5">
        <v>16</v>
      </c>
    </row>
    <row r="102">
      <c r="A102" t="s" s="5">
        <v>18</v>
      </c>
      <c r="B102" t="s" s="5">
        <v>10</v>
      </c>
      <c r="C102" t="s" s="5">
        <v>10</v>
      </c>
      <c r="D102" t="s" s="5">
        <v>10</v>
      </c>
      <c r="E102" t="s" s="5">
        <v>10</v>
      </c>
      <c r="F102" t="s" s="5">
        <v>10</v>
      </c>
    </row>
    <row r="103">
      <c r="A103" t="s" s="5">
        <v>19</v>
      </c>
      <c r="B103" t="s" s="5">
        <v>10</v>
      </c>
      <c r="C103" t="s" s="5">
        <v>10</v>
      </c>
      <c r="D103" t="s" s="5">
        <v>10</v>
      </c>
      <c r="E103" t="s" s="5">
        <v>10</v>
      </c>
      <c r="F103" t="s" s="5">
        <v>10</v>
      </c>
    </row>
    <row r="104">
      <c r="A104" t="s" s="5">
        <v>20</v>
      </c>
      <c r="B104" t="s" s="5">
        <v>67</v>
      </c>
      <c r="C104" t="s" s="5">
        <v>22</v>
      </c>
      <c r="D104" t="s" s="5">
        <v>68</v>
      </c>
      <c r="E104" t="s" s="5">
        <v>22</v>
      </c>
      <c r="F104" t="s" s="5">
        <v>63</v>
      </c>
    </row>
    <row r="105">
      <c r="A105" t="s" s="5">
        <v>25</v>
      </c>
      <c r="B105" t="s" s="5">
        <v>69</v>
      </c>
      <c r="C105" t="s" s="5">
        <v>69</v>
      </c>
      <c r="D105" t="s" s="5">
        <v>22</v>
      </c>
      <c r="E105" t="s" s="5">
        <v>22</v>
      </c>
      <c r="F105" t="s" s="5">
        <v>22</v>
      </c>
    </row>
    <row r="106">
      <c r="A106" t="s" s="6">
        <v>28</v>
      </c>
      <c r="B106" t="s" s="6">
        <v>70</v>
      </c>
      <c r="C106" t="s" s="6">
        <v>22</v>
      </c>
      <c r="D106" t="s" s="6">
        <v>22</v>
      </c>
      <c r="E106" t="s" s="6">
        <v>22</v>
      </c>
      <c r="F106" t="s" s="6">
        <v>30</v>
      </c>
    </row>
    <row r="107">
      <c r="A107" t="s" s="2">
        <v>31</v>
      </c>
    </row>
  </sheetData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F26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22.00" customWidth="1" hidden="0"/>
    <col min="2" max="4" width="14.00" customWidth="1" hidden="0"/>
    <col min="5" max="5" width="60.00" customWidth="1" hidden="0"/>
  </cols>
  <sheetData>
    <row r="1">
      <c r="A1" t="s" s="1">
        <v>71</v>
      </c>
    </row>
    <row r="3">
      <c r="A3" t="s" s="4">
        <v>72</v>
      </c>
      <c r="B3" t="s" s="4">
        <v>73</v>
      </c>
      <c r="C3" t="s" s="4">
        <v>74</v>
      </c>
      <c r="D3" t="s" s="4">
        <v>75</v>
      </c>
    </row>
    <row r="4">
      <c r="A4" t="s" s="7">
        <v>76</v>
      </c>
      <c r="B4" t="s" s="7">
        <v>77</v>
      </c>
      <c r="C4" t="s" s="7">
        <v>78</v>
      </c>
      <c r="D4" t="s" s="7">
        <v>79</v>
      </c>
    </row>
    <row r="5">
      <c r="A5" t="s" s="7">
        <v>80</v>
      </c>
      <c r="B5" t="s" s="7">
        <v>81</v>
      </c>
      <c r="C5" t="s" s="7">
        <v>82</v>
      </c>
      <c r="D5" t="s" s="7">
        <v>83</v>
      </c>
    </row>
    <row r="6">
      <c r="A6" t="s" s="7">
        <v>84</v>
      </c>
      <c r="B6" t="s" s="7">
        <v>85</v>
      </c>
      <c r="C6" t="s" s="7">
        <v>82</v>
      </c>
      <c r="D6" t="s" s="7">
        <v>86</v>
      </c>
    </row>
    <row r="7">
      <c r="A7" t="s" s="7">
        <v>87</v>
      </c>
      <c r="B7" t="s" s="7">
        <v>88</v>
      </c>
      <c r="C7" t="s" s="7">
        <v>82</v>
      </c>
      <c r="D7" t="s" s="7">
        <v>89</v>
      </c>
    </row>
    <row r="8">
      <c r="A8" t="s" s="7">
        <v>90</v>
      </c>
      <c r="B8" t="s" s="7">
        <v>91</v>
      </c>
      <c r="C8" t="s" s="7">
        <v>82</v>
      </c>
      <c r="D8" t="s" s="7">
        <v>92</v>
      </c>
    </row>
    <row r="9">
      <c r="A9" t="s" s="7">
        <v>93</v>
      </c>
      <c r="B9" t="s" s="7">
        <v>94</v>
      </c>
      <c r="C9" t="s" s="7">
        <v>82</v>
      </c>
      <c r="D9" t="s" s="7">
        <v>95</v>
      </c>
    </row>
    <row r="10">
      <c r="A10" t="s" s="7">
        <v>96</v>
      </c>
      <c r="B10" t="s" s="7">
        <v>97</v>
      </c>
      <c r="C10" t="s" s="7">
        <v>82</v>
      </c>
      <c r="D10" t="s" s="7">
        <v>22</v>
      </c>
    </row>
    <row r="11">
      <c r="A11" t="s" s="7">
        <v>98</v>
      </c>
      <c r="B11" t="s" s="7">
        <v>99</v>
      </c>
      <c r="C11" t="s" s="7">
        <v>82</v>
      </c>
      <c r="D11" t="s" s="7">
        <v>100</v>
      </c>
    </row>
    <row r="12">
      <c r="A12" t="s" s="7">
        <v>101</v>
      </c>
      <c r="B12" t="s" s="7">
        <v>102</v>
      </c>
      <c r="C12" t="s" s="7">
        <v>82</v>
      </c>
      <c r="D12" t="s" s="7">
        <v>22</v>
      </c>
    </row>
    <row r="13">
      <c r="A13" t="s" s="7">
        <v>103</v>
      </c>
      <c r="B13" t="s" s="7">
        <v>104</v>
      </c>
      <c r="C13" t="s" s="7">
        <v>82</v>
      </c>
      <c r="D13" t="s" s="7">
        <v>105</v>
      </c>
    </row>
    <row r="14">
      <c r="A14" t="s" s="7">
        <v>106</v>
      </c>
      <c r="B14" t="s" s="7">
        <v>107</v>
      </c>
      <c r="C14" t="s" s="7">
        <v>82</v>
      </c>
      <c r="D14" t="s" s="7">
        <v>108</v>
      </c>
    </row>
    <row r="15">
      <c r="A15" t="s" s="7">
        <v>109</v>
      </c>
      <c r="B15" t="s" s="7">
        <v>110</v>
      </c>
      <c r="C15" t="s" s="7">
        <v>82</v>
      </c>
      <c r="D15" t="s" s="7">
        <v>111</v>
      </c>
    </row>
    <row r="16">
      <c r="A16" t="s" s="7">
        <v>112</v>
      </c>
      <c r="B16" t="s" s="7">
        <v>113</v>
      </c>
      <c r="C16" t="s" s="7">
        <v>82</v>
      </c>
      <c r="D16" t="s" s="7">
        <v>114</v>
      </c>
    </row>
    <row r="17">
      <c r="A17" t="s" s="7">
        <v>115</v>
      </c>
      <c r="B17" t="s" s="7">
        <v>116</v>
      </c>
      <c r="C17" t="s" s="7">
        <v>82</v>
      </c>
      <c r="D17" t="s" s="7">
        <v>117</v>
      </c>
    </row>
    <row r="19">
      <c r="A19" t="s" s="8">
        <v>118</v>
      </c>
    </row>
    <row r="20">
      <c r="A20" t="s" s="4">
        <v>3</v>
      </c>
      <c r="B20" t="s" s="4">
        <v>119</v>
      </c>
      <c r="C20" t="s" s="4">
        <v>120</v>
      </c>
      <c r="D20" t="s" s="4">
        <v>121</v>
      </c>
      <c r="E20" t="s" s="4">
        <v>122</v>
      </c>
      <c r="F20" t="s" s="4">
        <v>123</v>
      </c>
    </row>
    <row r="21">
      <c r="A21" t="s" s="7">
        <v>124</v>
      </c>
      <c r="B21" s="7">
        <v>271.36</v>
      </c>
      <c r="C21" s="7">
        <v>240</v>
      </c>
      <c r="D21" s="7">
        <v>232</v>
      </c>
      <c r="E21" t="s" s="7">
        <v>125</v>
      </c>
      <c r="F21" t="s" s="7">
        <v>126</v>
      </c>
    </row>
    <row r="22">
      <c r="A22" t="s" s="7">
        <v>127</v>
      </c>
      <c r="B22" s="7">
        <v>301</v>
      </c>
      <c r="C22" s="7">
        <v>140</v>
      </c>
      <c r="D22" s="7">
        <v>139</v>
      </c>
      <c r="E22" t="s" s="7">
        <v>22</v>
      </c>
      <c r="F22" t="s" s="7">
        <v>128</v>
      </c>
    </row>
    <row r="23">
      <c r="A23" t="s" s="7">
        <v>129</v>
      </c>
      <c r="B23" s="7">
        <v>186</v>
      </c>
      <c r="C23" s="7">
        <v>393</v>
      </c>
      <c r="D23" s="7">
        <v>388</v>
      </c>
      <c r="E23" t="s" s="7">
        <v>22</v>
      </c>
      <c r="F23" t="s" s="7">
        <v>130</v>
      </c>
    </row>
    <row r="24">
      <c r="A24" t="s" s="7">
        <v>131</v>
      </c>
      <c r="B24" s="7">
        <v>295</v>
      </c>
      <c r="C24" s="7">
        <v>301</v>
      </c>
      <c r="D24" s="7">
        <v>301</v>
      </c>
      <c r="E24" t="s" s="7">
        <v>22</v>
      </c>
      <c r="F24" t="s" s="7">
        <v>132</v>
      </c>
    </row>
    <row r="25">
      <c r="A25" t="s" s="7">
        <v>133</v>
      </c>
      <c r="B25" s="7">
        <v>154</v>
      </c>
      <c r="C25" s="7">
        <v>182</v>
      </c>
      <c r="D25" s="7">
        <v>179</v>
      </c>
      <c r="E25" t="s" s="7">
        <v>22</v>
      </c>
      <c r="F25" t="s" s="7">
        <v>132</v>
      </c>
    </row>
    <row r="26">
      <c r="A26" t="s" s="2">
        <v>134</v>
      </c>
    </row>
  </sheetData>
  <mergeCells count="2">
    <mergeCell ref="A26:D26"/>
    <mergeCell ref="A19:D19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J36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sheetData>
    <row r="1">
      <c r="A1" t="s" s="1">
        <v>135</v>
      </c>
    </row>
    <row r="2">
      <c r="A2" t="s" s="2">
        <v>136</v>
      </c>
    </row>
    <row r="4">
      <c r="A4" t="s" s="4">
        <v>137</v>
      </c>
      <c r="B4" t="s" s="4">
        <v>138</v>
      </c>
      <c r="C4" t="s" s="4">
        <v>139</v>
      </c>
      <c r="D4" t="s" s="4">
        <v>140</v>
      </c>
      <c r="E4" t="s" s="4">
        <v>141</v>
      </c>
      <c r="F4" t="s" s="4">
        <v>142</v>
      </c>
      <c r="G4" t="s" s="4">
        <v>143</v>
      </c>
      <c r="H4" t="s" s="4">
        <v>144</v>
      </c>
      <c r="I4" t="s" s="4">
        <v>145</v>
      </c>
      <c r="J4" t="s" s="4">
        <v>146</v>
      </c>
    </row>
    <row r="5">
      <c r="A5" t="s" s="7">
        <v>147</v>
      </c>
      <c r="B5" s="7">
        <v>-325.6</v>
      </c>
      <c r="C5" s="7">
        <v>-375.6</v>
      </c>
      <c r="D5" s="7">
        <v>-425.6</v>
      </c>
      <c r="E5" s="7">
        <v>-475.6</v>
      </c>
      <c r="F5" s="7">
        <v>-525.6</v>
      </c>
      <c r="G5" s="7">
        <v>-575.6</v>
      </c>
      <c r="H5" s="7">
        <v>-625.6</v>
      </c>
      <c r="I5" t="s" s="7">
        <v>148</v>
      </c>
      <c r="J5" t="s" s="7">
        <v>149</v>
      </c>
    </row>
    <row r="6">
      <c r="A6" t="s" s="7">
        <v>150</v>
      </c>
      <c r="B6" s="7">
        <v>-17.6</v>
      </c>
      <c r="C6" s="7">
        <v>-11.7</v>
      </c>
      <c r="D6" s="7">
        <v>-5.9</v>
      </c>
      <c r="E6" s="7">
        <v>0</v>
      </c>
      <c r="F6" s="7">
        <v>5.9</v>
      </c>
      <c r="G6" s="7">
        <v>11.7</v>
      </c>
      <c r="H6" s="7">
        <v>17.6</v>
      </c>
      <c r="I6" t="s" s="7">
        <v>151</v>
      </c>
      <c r="J6" t="s" s="7">
        <v>152</v>
      </c>
    </row>
    <row r="7">
      <c r="A7" t="s" s="7">
        <v>153</v>
      </c>
      <c r="B7" s="7">
        <v>33.5</v>
      </c>
      <c r="C7" s="7">
        <v>22.4</v>
      </c>
      <c r="D7" s="7">
        <v>11.2</v>
      </c>
      <c r="E7" s="7">
        <v>0</v>
      </c>
      <c r="F7" s="7">
        <v>-11.2</v>
      </c>
      <c r="G7" s="7">
        <v>-22.4</v>
      </c>
      <c r="H7" s="7">
        <v>-33.5</v>
      </c>
      <c r="I7" t="s" s="7">
        <v>151</v>
      </c>
      <c r="J7" t="s" s="7">
        <v>154</v>
      </c>
    </row>
    <row r="8">
      <c r="A8" t="s" s="7">
        <v>155</v>
      </c>
      <c r="B8" s="7">
        <v>-7.3</v>
      </c>
      <c r="C8" s="7">
        <v>-4.9</v>
      </c>
      <c r="D8" s="7">
        <v>-2.4</v>
      </c>
      <c r="E8" s="7">
        <v>0</v>
      </c>
      <c r="F8" s="7">
        <v>2.4</v>
      </c>
      <c r="G8" s="7">
        <v>4.9</v>
      </c>
      <c r="H8" s="7">
        <v>7.3</v>
      </c>
      <c r="I8" t="s" s="7">
        <v>156</v>
      </c>
      <c r="J8" t="s" s="7">
        <v>157</v>
      </c>
    </row>
    <row r="9">
      <c r="A9" t="s" s="9">
        <v>158</v>
      </c>
      <c r="B9" s="10"/>
      <c r="C9" s="10"/>
      <c r="D9" s="10"/>
      <c r="E9" s="10"/>
      <c r="F9" s="10"/>
      <c r="G9" s="10"/>
      <c r="H9" s="10"/>
      <c r="I9" s="10"/>
      <c r="J9" s="11"/>
    </row>
    <row r="10">
      <c r="A10" s="7"/>
      <c r="B10" s="7"/>
      <c r="C10" s="7"/>
      <c r="D10" s="7"/>
      <c r="E10" s="7"/>
      <c r="F10" s="7"/>
    </row>
    <row r="11">
      <c r="A11" t="s" s="8">
        <v>159</v>
      </c>
    </row>
    <row r="12">
      <c r="A12" t="s" s="12">
        <v>137</v>
      </c>
      <c r="B12" t="s" s="12">
        <v>160</v>
      </c>
      <c r="C12" t="s" s="12">
        <v>161</v>
      </c>
      <c r="D12" t="s" s="12">
        <v>162</v>
      </c>
      <c r="E12" t="s" s="12">
        <v>146</v>
      </c>
    </row>
    <row r="13">
      <c r="A13" t="s" s="13">
        <v>163</v>
      </c>
      <c r="B13" t="s" s="13">
        <v>164</v>
      </c>
      <c r="C13" t="s" s="13">
        <v>165</v>
      </c>
      <c r="D13" t="s" s="13">
        <v>166</v>
      </c>
      <c r="E13" t="s" s="13">
        <v>167</v>
      </c>
      <c r="F13" s="4"/>
      <c r="G13" s="4"/>
      <c r="H13" s="4"/>
    </row>
    <row r="14">
      <c r="A14" t="s" s="7">
        <v>150</v>
      </c>
      <c r="B14" t="s" s="7">
        <v>168</v>
      </c>
      <c r="C14" t="s" s="7">
        <v>169</v>
      </c>
      <c r="D14" t="s" s="7">
        <v>170</v>
      </c>
      <c r="E14" s="7" t="e">
        <f>可分期交易额×Δ10pp×3.5%</f>
        <v>#NAME?</v>
      </c>
      <c r="F14" s="5"/>
      <c r="G14" s="5"/>
      <c r="H14" s="5"/>
    </row>
    <row r="15">
      <c r="A15" t="s" s="7">
        <v>172</v>
      </c>
      <c r="B15" t="s" s="7">
        <v>173</v>
      </c>
      <c r="C15" t="s" s="7">
        <v>174</v>
      </c>
      <c r="D15" t="s" s="7">
        <v>175</v>
      </c>
      <c r="E15" s="7" t="e">
        <f>风险暴露×Δ坏账率×LGD</f>
        <v>#NAME?</v>
      </c>
      <c r="F15" s="5"/>
      <c r="G15" s="5"/>
      <c r="H15" s="5"/>
    </row>
    <row r="16">
      <c r="A16" t="s" s="7">
        <v>155</v>
      </c>
      <c r="B16" t="s" s="7">
        <v>176</v>
      </c>
      <c r="C16" t="s" s="7">
        <v>177</v>
      </c>
      <c r="D16" t="s" s="7">
        <v>178</v>
      </c>
      <c r="E16" t="s" s="7">
        <v>179</v>
      </c>
      <c r="F16" s="5"/>
      <c r="G16" s="5"/>
      <c r="H16" s="5"/>
    </row>
    <row r="17">
      <c r="A17" t="s" s="7">
        <v>180</v>
      </c>
      <c r="B17" t="s" s="7">
        <v>181</v>
      </c>
      <c r="C17" t="s" s="7">
        <v>182</v>
      </c>
      <c r="D17" t="s" s="7">
        <v>183</v>
      </c>
      <c r="E17" t="s" s="7">
        <v>184</v>
      </c>
      <c r="F17" s="5"/>
      <c r="G17" s="5"/>
      <c r="H17" s="5"/>
    </row>
    <row r="18">
      <c r="A18" t="s" s="7">
        <v>185</v>
      </c>
      <c r="B18" t="s" s="7">
        <v>186</v>
      </c>
      <c r="C18" t="s" s="7">
        <v>187</v>
      </c>
      <c r="D18" t="s" s="7">
        <v>188</v>
      </c>
      <c r="E18" t="s" s="7">
        <v>189</v>
      </c>
      <c r="F18" s="5"/>
      <c r="G18" s="5"/>
      <c r="H18" s="5"/>
    </row>
    <row r="19">
      <c r="A19" s="2"/>
    </row>
    <row r="20">
      <c r="A20" t="s" s="14">
        <v>190</v>
      </c>
    </row>
    <row r="21">
      <c r="A21" t="s" s="12">
        <v>191</v>
      </c>
      <c r="B21" t="s" s="12">
        <v>192</v>
      </c>
      <c r="C21" t="s" s="12">
        <v>193</v>
      </c>
      <c r="D21" t="s" s="12">
        <v>194</v>
      </c>
      <c r="E21" t="s" s="12">
        <v>195</v>
      </c>
      <c r="F21" t="s" s="12">
        <v>196</v>
      </c>
      <c r="G21" t="s" s="12">
        <v>197</v>
      </c>
      <c r="H21" t="s" s="12">
        <v>198</v>
      </c>
    </row>
    <row r="22">
      <c r="A22" t="s" s="4">
        <v>199</v>
      </c>
      <c r="B22" s="4">
        <v>-14.7</v>
      </c>
      <c r="C22" s="4">
        <v>-114.7</v>
      </c>
      <c r="D22" s="4">
        <v>-214.7</v>
      </c>
      <c r="E22" s="4">
        <v>-514.7</v>
      </c>
      <c r="F22" s="4">
        <v>-814.7</v>
      </c>
      <c r="G22" s="5">
        <v>-1214.7</v>
      </c>
      <c r="H22" s="5">
        <v>-2014.7</v>
      </c>
    </row>
    <row r="23">
      <c r="A23" t="s" s="5">
        <v>200</v>
      </c>
      <c r="B23" s="5">
        <v>4.9</v>
      </c>
      <c r="C23" s="5">
        <v>-95.09999999999999</v>
      </c>
      <c r="D23" s="5">
        <v>-195.1</v>
      </c>
      <c r="E23" s="5">
        <v>-495.1</v>
      </c>
      <c r="F23" s="5">
        <v>-795.1</v>
      </c>
      <c r="G23" s="5">
        <v>-1195.1</v>
      </c>
      <c r="H23" s="5">
        <v>-1995.1</v>
      </c>
    </row>
    <row r="24">
      <c r="A24" t="s" s="5">
        <v>201</v>
      </c>
      <c r="B24" s="5">
        <v>24.4</v>
      </c>
      <c r="C24" s="5">
        <v>-75.59999999999999</v>
      </c>
      <c r="D24" s="5">
        <v>-175.6</v>
      </c>
      <c r="E24" s="5">
        <v>-475.6</v>
      </c>
      <c r="F24" s="5">
        <v>-775.6</v>
      </c>
      <c r="G24" s="5">
        <v>-1175.6</v>
      </c>
      <c r="H24" s="5">
        <v>-1975.6</v>
      </c>
    </row>
    <row r="25">
      <c r="A25" t="s" s="5">
        <v>202</v>
      </c>
      <c r="B25" s="5">
        <v>43.9</v>
      </c>
      <c r="C25" s="5">
        <v>-56.1</v>
      </c>
      <c r="D25" s="5">
        <v>-156.1</v>
      </c>
      <c r="E25" s="5">
        <v>-456.1</v>
      </c>
      <c r="F25" s="5">
        <v>-756.1</v>
      </c>
      <c r="G25" s="5">
        <v>-1156.1</v>
      </c>
      <c r="H25" s="5">
        <v>-1956.1</v>
      </c>
    </row>
    <row r="26">
      <c r="A26" t="s" s="5">
        <v>203</v>
      </c>
      <c r="B26" s="5">
        <v>63.5</v>
      </c>
      <c r="C26" s="5">
        <v>-36.5</v>
      </c>
      <c r="D26" s="5">
        <v>-136.5</v>
      </c>
      <c r="E26" s="5">
        <v>-436.5</v>
      </c>
      <c r="F26" s="5">
        <v>-736.5</v>
      </c>
      <c r="G26" s="5">
        <v>-1136.5</v>
      </c>
      <c r="H26" s="5">
        <v>-1936.5</v>
      </c>
    </row>
    <row r="27">
      <c r="A27" t="s" s="15">
        <v>204</v>
      </c>
      <c r="B27" s="10"/>
      <c r="C27" s="10"/>
      <c r="D27" s="10"/>
      <c r="E27" s="10"/>
      <c r="F27" s="10"/>
      <c r="G27" s="10"/>
      <c r="H27" s="11"/>
    </row>
    <row r="28">
      <c r="A28" s="2"/>
    </row>
    <row r="29">
      <c r="A29" t="s" s="14">
        <v>205</v>
      </c>
    </row>
    <row r="30">
      <c r="A30" t="s" s="12">
        <v>206</v>
      </c>
      <c r="B30" t="s" s="12">
        <v>207</v>
      </c>
      <c r="C30" t="s" s="12">
        <v>208</v>
      </c>
      <c r="D30" t="s" s="12">
        <v>209</v>
      </c>
      <c r="E30" t="s" s="12">
        <v>210</v>
      </c>
      <c r="F30" t="s" s="12">
        <v>211</v>
      </c>
    </row>
    <row r="31">
      <c r="A31" t="s" s="5">
        <v>212</v>
      </c>
      <c r="B31" s="5">
        <v>-457.4</v>
      </c>
      <c r="C31" s="5">
        <v>-446.7</v>
      </c>
      <c r="D31" s="5">
        <v>-429.3</v>
      </c>
      <c r="E31" s="5">
        <v>-414.8</v>
      </c>
      <c r="F31" s="5">
        <v>-393.5</v>
      </c>
    </row>
    <row r="32">
      <c r="A32" t="s" s="5">
        <v>213</v>
      </c>
      <c r="B32" s="5">
        <v>-485.3</v>
      </c>
      <c r="C32" s="5">
        <v>-481.6</v>
      </c>
      <c r="D32" s="5">
        <v>-475.6</v>
      </c>
      <c r="E32" s="5">
        <v>-470.6</v>
      </c>
      <c r="F32" s="5">
        <v>-463.3</v>
      </c>
    </row>
    <row r="33">
      <c r="A33" t="s" s="5">
        <v>214</v>
      </c>
      <c r="B33" s="5">
        <v>-516.8</v>
      </c>
      <c r="C33" s="5">
        <v>-521</v>
      </c>
      <c r="D33" s="5">
        <v>-527.9</v>
      </c>
      <c r="E33" s="5">
        <v>-533.6</v>
      </c>
      <c r="F33" s="5">
        <v>-542</v>
      </c>
    </row>
    <row r="34">
      <c r="A34" t="s" s="5">
        <v>215</v>
      </c>
      <c r="B34" s="5">
        <v>-564.7</v>
      </c>
      <c r="C34" s="5">
        <v>-580.9</v>
      </c>
      <c r="D34" s="5">
        <v>-607.4</v>
      </c>
      <c r="E34" s="5">
        <v>-629.4</v>
      </c>
      <c r="F34" s="5">
        <v>-661.8</v>
      </c>
    </row>
    <row r="35">
      <c r="A35" t="s" s="5">
        <v>216</v>
      </c>
      <c r="B35" s="5">
        <v>-615.8</v>
      </c>
      <c r="C35" s="5">
        <v>-644.7</v>
      </c>
      <c r="D35" s="5">
        <v>-692.2</v>
      </c>
      <c r="E35" s="5">
        <v>-731.6</v>
      </c>
      <c r="F35" s="5">
        <v>-789.5</v>
      </c>
    </row>
    <row r="36">
      <c r="A36" t="s" s="2">
        <v>217</v>
      </c>
    </row>
  </sheetData>
  <mergeCells count="6">
    <mergeCell ref="A29:I29"/>
    <mergeCell ref="A9:J9"/>
    <mergeCell ref="A36:I36"/>
    <mergeCell ref="A27:H27"/>
    <mergeCell ref="A20:I20"/>
    <mergeCell ref="A11:J11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J20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sheetData>
    <row r="1">
      <c r="A1" t="s" s="1">
        <v>218</v>
      </c>
    </row>
    <row r="3">
      <c r="A3" t="s" s="4">
        <v>219</v>
      </c>
      <c r="B3" t="s" s="4">
        <v>163</v>
      </c>
      <c r="C3" t="s" s="4">
        <v>220</v>
      </c>
      <c r="D3" t="s" s="4">
        <v>155</v>
      </c>
      <c r="E3" t="s" s="4">
        <v>221</v>
      </c>
      <c r="F3" t="s" s="4">
        <v>222</v>
      </c>
      <c r="G3" t="s" s="4">
        <v>223</v>
      </c>
      <c r="H3" t="s" s="4">
        <v>224</v>
      </c>
      <c r="I3" t="s" s="4">
        <v>225</v>
      </c>
      <c r="J3" t="s" s="4">
        <v>226</v>
      </c>
    </row>
    <row r="4">
      <c r="A4" t="s" s="7">
        <v>227</v>
      </c>
      <c r="B4" s="7">
        <v>500</v>
      </c>
      <c r="C4" t="s" s="7">
        <v>201</v>
      </c>
      <c r="D4" t="s" s="7">
        <v>228</v>
      </c>
      <c r="E4" t="s" s="7">
        <v>213</v>
      </c>
      <c r="F4" s="7">
        <v>24.4</v>
      </c>
      <c r="G4" s="7">
        <v>-475.6</v>
      </c>
      <c r="H4" s="7">
        <v>-78.90000000000001</v>
      </c>
      <c r="I4" s="7">
        <v>-578.9</v>
      </c>
      <c r="J4" t="s" s="7">
        <v>229</v>
      </c>
    </row>
    <row r="5">
      <c r="A5" t="s" s="7">
        <v>230</v>
      </c>
      <c r="B5" s="7">
        <v>300</v>
      </c>
      <c r="C5" t="s" s="7">
        <v>202</v>
      </c>
      <c r="D5" t="s" s="7">
        <v>231</v>
      </c>
      <c r="E5" t="s" s="7">
        <v>213</v>
      </c>
      <c r="F5" s="7">
        <v>48.3</v>
      </c>
      <c r="G5" s="7">
        <v>-251.7</v>
      </c>
      <c r="H5" s="7">
        <v>-29.2</v>
      </c>
      <c r="I5" s="7">
        <v>-329.2</v>
      </c>
      <c r="J5" t="s" s="7">
        <v>232</v>
      </c>
    </row>
    <row r="6">
      <c r="A6" t="s" s="7">
        <v>233</v>
      </c>
      <c r="B6" s="7">
        <v>300</v>
      </c>
      <c r="C6" t="s" s="7">
        <v>201</v>
      </c>
      <c r="D6" t="s" s="7">
        <v>228</v>
      </c>
      <c r="E6" t="s" s="7">
        <v>213</v>
      </c>
      <c r="F6" s="7">
        <v>61.8</v>
      </c>
      <c r="G6" s="7">
        <v>-238.2</v>
      </c>
      <c r="H6" s="7">
        <v>69.40000000000001</v>
      </c>
      <c r="I6" s="7">
        <v>-230.6</v>
      </c>
      <c r="J6" t="s" s="7">
        <v>234</v>
      </c>
    </row>
    <row r="7">
      <c r="A7" t="s" s="7">
        <v>235</v>
      </c>
      <c r="B7" s="7">
        <v>300</v>
      </c>
      <c r="C7" t="s" s="7">
        <v>202</v>
      </c>
      <c r="D7" t="s" s="7">
        <v>231</v>
      </c>
      <c r="E7" t="s" s="7">
        <v>213</v>
      </c>
      <c r="F7" s="7">
        <v>89.40000000000001</v>
      </c>
      <c r="G7" s="7">
        <v>-210.6</v>
      </c>
      <c r="H7" s="7">
        <v>133.9</v>
      </c>
      <c r="I7" s="7">
        <v>-166.1</v>
      </c>
      <c r="J7" t="s" s="7">
        <v>236</v>
      </c>
    </row>
    <row r="8">
      <c r="A8" t="s" s="7">
        <v>237</v>
      </c>
      <c r="B8" s="7">
        <v>800</v>
      </c>
      <c r="C8" t="s" s="7">
        <v>200</v>
      </c>
      <c r="D8" t="s" s="7">
        <v>238</v>
      </c>
      <c r="E8" t="s" s="7">
        <v>214</v>
      </c>
      <c r="F8" s="7">
        <v>-40.7</v>
      </c>
      <c r="G8" s="7">
        <v>-840.7</v>
      </c>
      <c r="H8" s="7">
        <v>-290.8</v>
      </c>
      <c r="I8" s="7">
        <v>-1090.8</v>
      </c>
      <c r="J8" t="s" s="7">
        <v>239</v>
      </c>
    </row>
    <row r="9">
      <c r="A9" t="s" s="7">
        <v>240</v>
      </c>
      <c r="B9" s="7">
        <v>1000</v>
      </c>
      <c r="C9" t="s" s="7">
        <v>241</v>
      </c>
      <c r="D9" t="s" s="7">
        <v>242</v>
      </c>
      <c r="E9" t="s" s="7">
        <v>215</v>
      </c>
      <c r="F9" s="7">
        <v>-82.3</v>
      </c>
      <c r="G9" s="7">
        <v>-1082.3</v>
      </c>
      <c r="H9" s="7">
        <v>-380</v>
      </c>
      <c r="I9" s="7">
        <v>-1380</v>
      </c>
      <c r="J9" t="s" s="7">
        <v>243</v>
      </c>
    </row>
    <row r="10">
      <c r="A10" t="s" s="2">
        <v>244</v>
      </c>
    </row>
    <row r="12">
      <c r="A12" t="s" s="8">
        <v>245</v>
      </c>
    </row>
    <row r="13">
      <c r="A13" t="s" s="4">
        <v>246</v>
      </c>
      <c r="B13" t="s" s="4">
        <v>247</v>
      </c>
      <c r="C13" t="s" s="4">
        <v>248</v>
      </c>
      <c r="D13" t="s" s="4">
        <v>249</v>
      </c>
    </row>
    <row r="14">
      <c r="A14" t="s" s="7">
        <v>250</v>
      </c>
      <c r="B14" t="s" s="7">
        <v>251</v>
      </c>
      <c r="C14" t="s" s="7">
        <v>252</v>
      </c>
      <c r="D14" t="s" s="7">
        <v>253</v>
      </c>
    </row>
    <row r="15">
      <c r="A15" t="s" s="7">
        <v>254</v>
      </c>
      <c r="B15" t="s" s="7">
        <v>255</v>
      </c>
      <c r="C15" t="s" s="7">
        <v>256</v>
      </c>
      <c r="D15" t="s" s="7">
        <v>257</v>
      </c>
    </row>
    <row r="16">
      <c r="A16" t="s" s="7">
        <v>258</v>
      </c>
      <c r="B16" t="s" s="7">
        <v>259</v>
      </c>
      <c r="C16" t="s" s="7">
        <v>260</v>
      </c>
      <c r="D16" t="s" s="7">
        <v>261</v>
      </c>
    </row>
    <row r="17">
      <c r="A17" t="s" s="7">
        <v>262</v>
      </c>
      <c r="B17" t="s" s="7">
        <v>263</v>
      </c>
      <c r="C17" t="s" s="7">
        <v>264</v>
      </c>
      <c r="D17" t="s" s="7">
        <v>265</v>
      </c>
    </row>
    <row r="18">
      <c r="A18" t="s" s="7">
        <v>266</v>
      </c>
      <c r="B18" t="s" s="7">
        <v>267</v>
      </c>
      <c r="C18" t="s" s="7">
        <v>268</v>
      </c>
      <c r="D18" t="s" s="7">
        <v>269</v>
      </c>
    </row>
    <row r="19">
      <c r="A19" t="s" s="16">
        <v>270</v>
      </c>
    </row>
  </sheetData>
  <mergeCells count="2">
    <mergeCell ref="A19:J20"/>
    <mergeCell ref="A10:J10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D11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sheetData>
    <row r="1">
      <c r="A1" t="s" s="1">
        <v>271</v>
      </c>
    </row>
    <row r="3">
      <c r="A3" t="s" s="4">
        <v>272</v>
      </c>
      <c r="B3" t="s" s="4">
        <v>273</v>
      </c>
      <c r="C3" t="s" s="4">
        <v>274</v>
      </c>
      <c r="D3" t="s" s="4">
        <v>275</v>
      </c>
    </row>
    <row r="4">
      <c r="A4" t="s" s="7">
        <v>276</v>
      </c>
      <c r="B4" t="s" s="7">
        <v>277</v>
      </c>
      <c r="C4" t="s" s="7">
        <v>278</v>
      </c>
      <c r="D4" t="s" s="7">
        <v>279</v>
      </c>
    </row>
    <row r="5">
      <c r="A5" t="s" s="7">
        <v>280</v>
      </c>
      <c r="B5" t="s" s="7">
        <v>281</v>
      </c>
      <c r="C5" t="s" s="7">
        <v>282</v>
      </c>
      <c r="D5" t="s" s="7">
        <v>283</v>
      </c>
    </row>
    <row r="6">
      <c r="A6" t="s" s="7">
        <v>284</v>
      </c>
      <c r="B6" t="s" s="7">
        <v>285</v>
      </c>
      <c r="C6" t="s" s="7">
        <v>286</v>
      </c>
      <c r="D6" t="s" s="7">
        <v>287</v>
      </c>
    </row>
    <row r="7">
      <c r="A7" t="s" s="7">
        <v>288</v>
      </c>
      <c r="B7" t="s" s="7">
        <v>289</v>
      </c>
      <c r="C7" t="s" s="7">
        <v>290</v>
      </c>
      <c r="D7" t="s" s="7">
        <v>291</v>
      </c>
    </row>
    <row r="8">
      <c r="A8" t="s" s="7">
        <v>292</v>
      </c>
      <c r="B8" t="s" s="7">
        <v>293</v>
      </c>
      <c r="C8" t="s" s="7">
        <v>294</v>
      </c>
      <c r="D8" t="s" s="7">
        <v>295</v>
      </c>
    </row>
    <row r="9">
      <c r="A9" t="s" s="7">
        <v>296</v>
      </c>
      <c r="B9" t="s" s="7">
        <v>297</v>
      </c>
      <c r="C9" t="s" s="7">
        <v>298</v>
      </c>
      <c r="D9" t="s" s="7">
        <v>299</v>
      </c>
    </row>
    <row r="10">
      <c r="A10" t="s" s="2">
        <v>300</v>
      </c>
    </row>
  </sheetData>
  <mergeCells count="1">
    <mergeCell ref="A10:D11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5</vt:i4>
      </vt:variant>
    </vt:vector>
  </HeadingPairs>
  <TitlesOfParts>
    <vt:vector size="5" baseType="lpstr">
      <vt:lpstr>同业指标趋势</vt:lpstr>
      <vt:lpstr>2025同业与城商行更新</vt:lpstr>
      <vt:lpstr>四指标敏感性</vt:lpstr>
      <vt:lpstr>情景与盈亏平衡</vt:lpstr>
      <vt:lpstr>口径与来源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