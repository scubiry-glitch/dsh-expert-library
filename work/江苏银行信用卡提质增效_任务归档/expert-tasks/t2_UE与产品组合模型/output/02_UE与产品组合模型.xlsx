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参数与计算" sheetId="1" state="visible" r:id="rId1"/>
    <sheet xmlns:r="http://schemas.openxmlformats.org/officeDocument/2006/relationships" name="UE结果" sheetId="2" state="visible" r:id="rId2"/>
    <sheet xmlns:r="http://schemas.openxmlformats.org/officeDocument/2006/relationships" name="产品组合矩阵" sheetId="3" state="visible" r:id="rId3"/>
    <sheet xmlns:r="http://schemas.openxmlformats.org/officeDocument/2006/relationships" name="口径与来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0" customWidth="1" min="5" max="5"/>
    <col width="42" customWidth="1" min="6" max="6"/>
    <col width="12" customWidth="1" min="7" max="7"/>
    <col width="8" customWidth="1" min="8" max="8"/>
    <col width="10" customWidth="1" min="9" max="9"/>
    <col width="10" customWidth="1" min="10" max="10"/>
    <col width="30" customWidth="1" min="11" max="11"/>
  </cols>
  <sheetData>
    <row r="1">
      <c r="A1" s="1" t="inlineStr">
        <is>
          <t>模型A：信用卡UE参数表与计算口径</t>
        </is>
      </c>
    </row>
    <row r="2">
      <c r="A2" s="2" t="inlineStr">
        <is>
          <t>版本V1.0 2026-08-21 ｜ 证据等级E0-E4 ｜ 待补参数不当作0，用敏感区间替代单一假设</t>
        </is>
      </c>
    </row>
    <row r="3">
      <c r="A3" s="3" t="inlineStr">
        <is>
          <t>参数ID</t>
        </is>
      </c>
      <c r="B3" s="3" t="inlineStr">
        <is>
          <t>参数名称</t>
        </is>
      </c>
      <c r="C3" s="3" t="inlineStr">
        <is>
          <t>基准值</t>
        </is>
      </c>
      <c r="D3" s="3" t="inlineStr">
        <is>
          <t>单位</t>
        </is>
      </c>
      <c r="E3" s="3" t="inlineStr">
        <is>
          <t>类型</t>
        </is>
      </c>
      <c r="F3" s="3" t="inlineStr">
        <is>
          <t>来源/依据</t>
        </is>
      </c>
      <c r="G3" s="3" t="inlineStr">
        <is>
          <t>证据等级</t>
        </is>
      </c>
      <c r="H3" s="3" t="inlineStr">
        <is>
          <t>状态</t>
        </is>
      </c>
      <c r="I3" s="3" t="inlineStr">
        <is>
          <t>下限</t>
        </is>
      </c>
      <c r="J3" s="3" t="inlineStr">
        <is>
          <t>上限</t>
        </is>
      </c>
      <c r="K3" s="3" t="inlineStr">
        <is>
          <t>备注</t>
        </is>
      </c>
    </row>
    <row r="4">
      <c r="A4" s="4" t="inlineStr">
        <is>
          <t>p_eff_cards</t>
        </is>
      </c>
      <c r="B4" s="4" t="inlineStr">
        <is>
          <t>有效卡量</t>
        </is>
      </c>
      <c r="C4" s="4" t="n">
        <v>330.05</v>
      </c>
      <c r="D4" s="4" t="inlineStr">
        <is>
          <t>万张</t>
        </is>
      </c>
      <c r="E4" s="4" t="inlineStr">
        <is>
          <t>实际</t>
        </is>
      </c>
      <c r="F4" s="4" t="inlineStr">
        <is>
          <t>银联报告p6 (2026-07)</t>
        </is>
      </c>
      <c r="G4" s="4" t="inlineStr">
        <is>
          <t>E1/E2</t>
        </is>
      </c>
      <c r="H4" s="4" t="inlineStr">
        <is>
          <t>可用</t>
        </is>
      </c>
      <c r="I4" s="4" t="inlineStr"/>
      <c r="J4" s="4" t="inlineStr"/>
      <c r="K4" s="4" t="inlineStr">
        <is>
          <t>期末有效卡口径，剔除销卡/销户/核销</t>
        </is>
      </c>
    </row>
    <row r="5">
      <c r="A5" s="4" t="inlineStr">
        <is>
          <t>p_holders</t>
        </is>
      </c>
      <c r="B5" s="4" t="inlineStr">
        <is>
          <t>有效主卡持卡人</t>
        </is>
      </c>
      <c r="C5" s="4" t="n">
        <v>308.63</v>
      </c>
      <c r="D5" s="4" t="inlineStr">
        <is>
          <t>万人</t>
        </is>
      </c>
      <c r="E5" s="4" t="inlineStr">
        <is>
          <t>实际</t>
        </is>
      </c>
      <c r="F5" s="4" t="inlineStr">
        <is>
          <t>银联报告p6</t>
        </is>
      </c>
      <c r="G5" s="4" t="inlineStr">
        <is>
          <t>E1/E2</t>
        </is>
      </c>
      <c r="H5" s="4" t="inlineStr">
        <is>
          <t>可用</t>
        </is>
      </c>
      <c r="I5" s="4" t="inlineStr"/>
      <c r="J5" s="4" t="inlineStr"/>
      <c r="K5" s="4" t="inlineStr">
        <is>
          <t>卡户比1.07</t>
        </is>
      </c>
    </row>
    <row r="6">
      <c r="A6" s="4" t="inlineStr">
        <is>
          <t>p_activation</t>
        </is>
      </c>
      <c r="B6" s="4" t="inlineStr">
        <is>
          <t>激活率</t>
        </is>
      </c>
      <c r="C6" s="4" t="n">
        <v>60.39</v>
      </c>
      <c r="D6" s="4" t="inlineStr">
        <is>
          <t>%</t>
        </is>
      </c>
      <c r="E6" s="4" t="inlineStr">
        <is>
          <t>实际</t>
        </is>
      </c>
      <c r="F6" s="4" t="inlineStr">
        <is>
          <t>银联报告p6</t>
        </is>
      </c>
      <c r="G6" s="4" t="inlineStr">
        <is>
          <t>E1/E2</t>
        </is>
      </c>
      <c r="H6" s="4" t="inlineStr">
        <is>
          <t>可用</t>
        </is>
      </c>
      <c r="I6" s="4" t="inlineStr"/>
      <c r="J6" s="4" t="inlineStr"/>
      <c r="K6" s="4" t="inlineStr">
        <is>
          <t>激活卡量/有效卡量</t>
        </is>
      </c>
    </row>
    <row r="7">
      <c r="A7" s="4" t="inlineStr">
        <is>
          <t>p_active30</t>
        </is>
      </c>
      <c r="B7" s="4" t="inlineStr">
        <is>
          <t>30天活跃率</t>
        </is>
      </c>
      <c r="C7" s="4" t="n">
        <v>26.1</v>
      </c>
      <c r="D7" s="4" t="inlineStr">
        <is>
          <t>%</t>
        </is>
      </c>
      <c r="E7" s="4" t="inlineStr">
        <is>
          <t>实际</t>
        </is>
      </c>
      <c r="F7" s="4" t="inlineStr">
        <is>
          <t>银联报告p6</t>
        </is>
      </c>
      <c r="G7" s="4" t="inlineStr">
        <is>
          <t>E1/E2</t>
        </is>
      </c>
      <c r="H7" s="4" t="inlineStr">
        <is>
          <t>可用</t>
        </is>
      </c>
      <c r="I7" s="4" t="inlineStr"/>
      <c r="J7" s="4" t="inlineStr"/>
      <c r="K7" s="4" t="inlineStr">
        <is>
          <t>30天有主动交易/有效卡量</t>
        </is>
      </c>
    </row>
    <row r="8">
      <c r="A8" s="4" t="inlineStr">
        <is>
          <t>p_spend_eff</t>
        </is>
      </c>
      <c r="B8" s="4" t="inlineStr">
        <is>
          <t>有效卡均消费</t>
        </is>
      </c>
      <c r="C8" s="4" t="n">
        <v>573</v>
      </c>
      <c r="D8" s="4" t="inlineStr">
        <is>
          <t>元/卡/月</t>
        </is>
      </c>
      <c r="E8" s="4" t="inlineStr">
        <is>
          <t>实际</t>
        </is>
      </c>
      <c r="F8" s="4" t="inlineStr">
        <is>
          <t>银联报告p6</t>
        </is>
      </c>
      <c r="G8" s="4" t="inlineStr">
        <is>
          <t>E1/E2</t>
        </is>
      </c>
      <c r="H8" s="4" t="inlineStr">
        <is>
          <t>可用</t>
        </is>
      </c>
      <c r="I8" s="4" t="inlineStr"/>
      <c r="J8" s="4" t="inlineStr"/>
      <c r="K8" s="4" t="inlineStr">
        <is>
          <t>分母为期末有效卡</t>
        </is>
      </c>
    </row>
    <row r="9">
      <c r="A9" s="4" t="inlineStr">
        <is>
          <t>p_inc_eff</t>
        </is>
      </c>
      <c r="B9" s="4" t="inlineStr">
        <is>
          <t>有效卡均收入(应计)</t>
        </is>
      </c>
      <c r="C9" s="4" t="n">
        <v>61.49</v>
      </c>
      <c r="D9" s="4" t="inlineStr">
        <is>
          <t>元/卡/月</t>
        </is>
      </c>
      <c r="E9" s="4" t="inlineStr">
        <is>
          <t>实际</t>
        </is>
      </c>
      <c r="F9" s="4" t="inlineStr">
        <is>
          <t>银联报告p7/p45</t>
        </is>
      </c>
      <c r="G9" s="4" t="inlineStr">
        <is>
          <t>E1/E2</t>
        </is>
      </c>
      <c r="H9" s="4" t="inlineStr">
        <is>
          <t>可用</t>
        </is>
      </c>
      <c r="I9" s="4" t="inlineStr"/>
      <c r="J9" s="4" t="inlineStr"/>
      <c r="K9" s="4" t="inlineStr">
        <is>
          <t>银联总收入口径=年费+利息+佣金+取现+分期息费+违约金+其他</t>
        </is>
      </c>
    </row>
    <row r="10">
      <c r="A10" s="4" t="inlineStr">
        <is>
          <t>p_inc2_eff</t>
        </is>
      </c>
      <c r="B10" s="4" t="inlineStr">
        <is>
          <t>有效卡均收入2(实收)</t>
        </is>
      </c>
      <c r="C10" s="4" t="n">
        <v>43.03</v>
      </c>
      <c r="D10" s="4" t="inlineStr">
        <is>
          <t>元/卡/月</t>
        </is>
      </c>
      <c r="E10" s="4" t="inlineStr">
        <is>
          <t>实际</t>
        </is>
      </c>
      <c r="F10" s="4" t="inlineStr">
        <is>
          <t>银联报告p7/p47</t>
        </is>
      </c>
      <c r="G10" s="4" t="inlineStr">
        <is>
          <t>E1/E2</t>
        </is>
      </c>
      <c r="H10" s="4" t="inlineStr">
        <is>
          <t>可用</t>
        </is>
      </c>
      <c r="I10" s="4" t="inlineStr"/>
      <c r="J10" s="4" t="inlineStr"/>
      <c r="K10" s="4" t="inlineStr">
        <is>
          <t>实收口径：息费余额变动+新增息费+调账+回佣</t>
        </is>
      </c>
    </row>
    <row r="11">
      <c r="A11" s="4" t="inlineStr">
        <is>
          <t>p_inc_struct</t>
        </is>
      </c>
      <c r="B11" s="4" t="inlineStr">
        <is>
          <t>收入结构(利息/分期/回佣/其他)</t>
        </is>
      </c>
      <c r="C11" s="4" t="n">
        <v>0.1562897924975255</v>
      </c>
      <c r="D11" s="4" t="inlineStr">
        <is>
          <t>元/卡/月</t>
        </is>
      </c>
      <c r="E11" s="4" t="inlineStr">
        <is>
          <t>推导</t>
        </is>
      </c>
      <c r="F11" s="4" t="inlineStr">
        <is>
          <t>银联p46-48收入结构×占比</t>
        </is>
      </c>
      <c r="G11" s="4" t="inlineStr">
        <is>
          <t>E2推导</t>
        </is>
      </c>
      <c r="H11" s="4" t="inlineStr">
        <is>
          <t>可用</t>
        </is>
      </c>
      <c r="I11" s="4" t="inlineStr"/>
      <c r="J11" s="4" t="inlineStr"/>
      <c r="K11" s="4" t="inlineStr">
        <is>
          <t>28.5%/65.7%/1.9%/4.0%</t>
        </is>
      </c>
    </row>
    <row r="12">
      <c r="A12" s="4" t="inlineStr">
        <is>
          <t>p_exchange_rate</t>
        </is>
      </c>
      <c r="B12" s="4" t="inlineStr">
        <is>
          <t>有效交换收入率</t>
        </is>
      </c>
      <c r="C12" s="4" t="n">
        <v>0.199</v>
      </c>
      <c r="D12" s="4" t="inlineStr">
        <is>
          <t>%</t>
        </is>
      </c>
      <c r="E12" s="4" t="inlineStr">
        <is>
          <t>推导</t>
        </is>
      </c>
      <c r="F12" s="4" t="inlineStr">
        <is>
          <t>回佣收入÷年消费=(1.14×12)/(573×12)</t>
        </is>
      </c>
      <c r="G12" s="4" t="inlineStr">
        <is>
          <t>E2推导</t>
        </is>
      </c>
      <c r="H12" s="4" t="inlineStr">
        <is>
          <t>可用</t>
        </is>
      </c>
      <c r="I12" s="4" t="n">
        <v>0.15</v>
      </c>
      <c r="J12" s="4" t="n">
        <v>0.3</v>
      </c>
      <c r="K12" s="4" t="inlineStr">
        <is>
          <t>推导0.199%≈2‰, 与20260805银联业务交流纪要(E2)‘发卡行分润约千二、支付宝/微信不足千一’一致; 境外约2%</t>
        </is>
      </c>
    </row>
    <row r="13">
      <c r="A13" s="4" t="inlineStr">
        <is>
          <t>p_installment_rate</t>
        </is>
      </c>
      <c r="B13" s="4" t="inlineStr">
        <is>
          <t>交易分期率</t>
        </is>
      </c>
      <c r="C13" s="4" t="n">
        <v>30</v>
      </c>
      <c r="D13" s="4" t="inlineStr">
        <is>
          <t>%</t>
        </is>
      </c>
      <c r="E13" s="4" t="inlineStr">
        <is>
          <t>情景</t>
        </is>
      </c>
      <c r="F13" s="4" t="inlineStr">
        <is>
          <t>内部待补；银联分期渗透率39.68%≠交易/余额分期率</t>
        </is>
      </c>
      <c r="G13" s="4" t="inlineStr">
        <is>
          <t>E4</t>
        </is>
      </c>
      <c r="H13" s="5" t="inlineStr">
        <is>
          <t>待补</t>
        </is>
      </c>
      <c r="I13" s="4" t="n">
        <v>10</v>
      </c>
      <c r="J13" s="4" t="n">
        <v>40</v>
      </c>
      <c r="K13" s="4" t="inlineStr">
        <is>
          <t>Q04口径：不可用渗透率替代</t>
        </is>
      </c>
    </row>
    <row r="14">
      <c r="A14" s="4" t="inlineStr">
        <is>
          <t>p_installable_ratio</t>
        </is>
      </c>
      <c r="B14" s="4" t="inlineStr">
        <is>
          <t>可分期交易占比</t>
        </is>
      </c>
      <c r="C14" s="4" t="n">
        <v>70</v>
      </c>
      <c r="D14" s="4" t="inlineStr">
        <is>
          <t>%</t>
        </is>
      </c>
      <c r="E14" s="4" t="inlineStr">
        <is>
          <t>情景</t>
        </is>
      </c>
      <c r="F14" s="4" t="inlineStr">
        <is>
          <t>现金/转账/特定商户不可分期；内部待补</t>
        </is>
      </c>
      <c r="G14" s="4" t="inlineStr">
        <is>
          <t>E4</t>
        </is>
      </c>
      <c r="H14" s="5" t="inlineStr">
        <is>
          <t>待补</t>
        </is>
      </c>
      <c r="I14" s="4" t="n">
        <v>50</v>
      </c>
      <c r="J14" s="4" t="n">
        <v>80</v>
      </c>
      <c r="K14" s="4" t="inlineStr"/>
    </row>
    <row r="15">
      <c r="A15" s="4" t="inlineStr">
        <is>
          <t>p_installment_margin</t>
        </is>
      </c>
      <c r="B15" s="4" t="inlineStr">
        <is>
          <t>单位增量分期净贡献</t>
        </is>
      </c>
      <c r="C15" s="4" t="n">
        <v>3.5</v>
      </c>
      <c r="D15" s="4" t="inlineStr">
        <is>
          <t>%</t>
        </is>
      </c>
      <c r="E15" s="4" t="inlineStr">
        <is>
          <t>情景</t>
        </is>
      </c>
      <c r="F15" s="4" t="inlineStr">
        <is>
          <t>线上10.48%-FTP2.30%-风险1.96%-服务≈5.2%；线下≈0.6%；加权估算</t>
        </is>
      </c>
      <c r="G15" s="4" t="inlineStr">
        <is>
          <t>E4</t>
        </is>
      </c>
      <c r="H15" s="5" t="inlineStr">
        <is>
          <t>待补</t>
        </is>
      </c>
      <c r="I15" s="4" t="n">
        <v>2</v>
      </c>
      <c r="J15" s="4" t="n">
        <v>5</v>
      </c>
      <c r="K15" s="4" t="inlineStr">
        <is>
          <t>净口径：已扣资金/服务/奖励/风险</t>
        </is>
      </c>
    </row>
    <row r="16">
      <c r="A16" s="4" t="inlineStr">
        <is>
          <t>p_cac</t>
        </is>
      </c>
      <c r="B16" s="4" t="inlineStr">
        <is>
          <t>新增激活卡CAC</t>
        </is>
      </c>
      <c r="C16" s="4" t="n">
        <v>500</v>
      </c>
      <c r="D16" s="4" t="inlineStr">
        <is>
          <t>元/卡</t>
        </is>
      </c>
      <c r="E16" s="4" t="inlineStr">
        <is>
          <t>情景</t>
        </is>
      </c>
      <c r="F16" s="4" t="inlineStr">
        <is>
          <t>内部待补；行业参考区间</t>
        </is>
      </c>
      <c r="G16" s="4" t="inlineStr">
        <is>
          <t>E4</t>
        </is>
      </c>
      <c r="H16" s="5" t="inlineStr">
        <is>
          <t>待补</t>
        </is>
      </c>
      <c r="I16" s="4" t="n">
        <v>200</v>
      </c>
      <c r="J16" s="4" t="n">
        <v>2000</v>
      </c>
      <c r="K16" s="4" t="inlineStr">
        <is>
          <t>归因窗口与自然增长剔除待确认</t>
        </is>
      </c>
    </row>
    <row r="17">
      <c r="A17" s="4" t="inlineStr">
        <is>
          <t>p_rewards</t>
        </is>
      </c>
      <c r="B17" s="4" t="inlineStr">
        <is>
          <t>奖励/权益变动成本</t>
        </is>
      </c>
      <c r="C17" s="4" t="n">
        <v>60</v>
      </c>
      <c r="D17" s="4" t="inlineStr">
        <is>
          <t>元/卡/年</t>
        </is>
      </c>
      <c r="E17" s="4" t="inlineStr">
        <is>
          <t>情景</t>
        </is>
      </c>
      <c r="F17" s="4" t="inlineStr">
        <is>
          <t>内部待补</t>
        </is>
      </c>
      <c r="G17" s="4" t="inlineStr">
        <is>
          <t>E4</t>
        </is>
      </c>
      <c r="H17" s="5" t="inlineStr">
        <is>
          <t>待补</t>
        </is>
      </c>
      <c r="I17" s="4" t="n">
        <v>0</v>
      </c>
      <c r="J17" s="4" t="n">
        <v>240</v>
      </c>
      <c r="K17" s="4" t="inlineStr">
        <is>
          <t>按激活卡</t>
        </is>
      </c>
    </row>
    <row r="18">
      <c r="A18" s="4" t="inlineStr">
        <is>
          <t>p_service</t>
        </is>
      </c>
      <c r="B18" s="4" t="inlineStr">
        <is>
          <t>变动服务成本</t>
        </is>
      </c>
      <c r="C18" s="4" t="n">
        <v>30</v>
      </c>
      <c r="D18" s="4" t="inlineStr">
        <is>
          <t>元/卡/年</t>
        </is>
      </c>
      <c r="E18" s="4" t="inlineStr">
        <is>
          <t>情景</t>
        </is>
      </c>
      <c r="F18" s="4" t="inlineStr">
        <is>
          <t>内部待补</t>
        </is>
      </c>
      <c r="G18" s="4" t="inlineStr">
        <is>
          <t>E4</t>
        </is>
      </c>
      <c r="H18" s="5" t="inlineStr">
        <is>
          <t>待补</t>
        </is>
      </c>
      <c r="I18" s="4" t="n">
        <v>0</v>
      </c>
      <c r="J18" s="4" t="n">
        <v>100</v>
      </c>
      <c r="K18" s="4" t="inlineStr">
        <is>
          <t>直接费用率0.31%为固定口径参考</t>
        </is>
      </c>
    </row>
    <row r="19">
      <c r="A19" s="4" t="inlineStr">
        <is>
          <t>p_fraud</t>
        </is>
      </c>
      <c r="B19" s="4" t="inlineStr">
        <is>
          <t>欺诈/拒付损失</t>
        </is>
      </c>
      <c r="C19" s="4" t="n">
        <v>10</v>
      </c>
      <c r="D19" s="4" t="inlineStr">
        <is>
          <t>元/卡/年</t>
        </is>
      </c>
      <c r="E19" s="4" t="inlineStr">
        <is>
          <t>情景</t>
        </is>
      </c>
      <c r="F19" s="4" t="inlineStr">
        <is>
          <t>内部待补</t>
        </is>
      </c>
      <c r="G19" s="4" t="inlineStr">
        <is>
          <t>E4</t>
        </is>
      </c>
      <c r="H19" s="5" t="inlineStr">
        <is>
          <t>待补</t>
        </is>
      </c>
      <c r="I19" s="4" t="n">
        <v>0</v>
      </c>
      <c r="J19" s="4" t="n">
        <v>50</v>
      </c>
      <c r="K19" s="4" t="inlineStr"/>
    </row>
    <row r="20">
      <c r="A20" s="4" t="inlineStr">
        <is>
          <t>p_recovery</t>
        </is>
      </c>
      <c r="B20" s="4" t="inlineStr">
        <is>
          <t>可归属回收</t>
        </is>
      </c>
      <c r="C20" s="4" t="n">
        <v>15</v>
      </c>
      <c r="D20" s="4" t="inlineStr">
        <is>
          <t>元/卡/年</t>
        </is>
      </c>
      <c r="E20" s="4" t="inlineStr">
        <is>
          <t>情景</t>
        </is>
      </c>
      <c r="F20" s="4" t="inlineStr">
        <is>
          <t>内部待补；银联M6+回款率0.28%参考</t>
        </is>
      </c>
      <c r="G20" s="4" t="inlineStr">
        <is>
          <t>E4</t>
        </is>
      </c>
      <c r="H20" s="5" t="inlineStr">
        <is>
          <t>待补</t>
        </is>
      </c>
      <c r="I20" s="4" t="n">
        <v>0</v>
      </c>
      <c r="J20" s="4" t="n">
        <v>50</v>
      </c>
      <c r="K20" s="4" t="inlineStr">
        <is>
          <t>与核销时点匹配</t>
        </is>
      </c>
    </row>
    <row r="21">
      <c r="A21" s="4" t="inlineStr">
        <is>
          <t>p_funding</t>
        </is>
      </c>
      <c r="B21" s="4" t="inlineStr">
        <is>
          <t>资金成本(FTP)</t>
        </is>
      </c>
      <c r="C21" s="4" t="n">
        <v>2.3</v>
      </c>
      <c r="D21" s="4" t="inlineStr">
        <is>
          <t>%</t>
        </is>
      </c>
      <c r="E21" s="4" t="inlineStr">
        <is>
          <t>实际</t>
        </is>
      </c>
      <c r="F21" s="4" t="inlineStr">
        <is>
          <t>内部复盘0814 2026H1(年化)</t>
        </is>
      </c>
      <c r="G21" s="4" t="inlineStr">
        <is>
          <t>E0/E2</t>
        </is>
      </c>
      <c r="H21" s="4" t="inlineStr">
        <is>
          <t>可用</t>
        </is>
      </c>
      <c r="I21" s="4" t="n">
        <v>2.3</v>
      </c>
      <c r="J21" s="4" t="n">
        <v>2.86</v>
      </c>
      <c r="K21" s="4" t="inlineStr">
        <is>
          <t>复盘0814: 2.86%/2.44%/2.30%(2024/2025/2026H1, E0/E2); 2.81亿/H1÷245.71亿日均×2</t>
        </is>
      </c>
    </row>
    <row r="22">
      <c r="A22" s="4" t="inlineStr">
        <is>
          <t>p_risk_flow</t>
        </is>
      </c>
      <c r="B22" s="4" t="inlineStr">
        <is>
          <t>核销还原不良损失率</t>
        </is>
      </c>
      <c r="C22" s="4" t="n">
        <v>4.37</v>
      </c>
      <c r="D22" s="4" t="inlineStr">
        <is>
          <t>%</t>
        </is>
      </c>
      <c r="E22" s="4" t="inlineStr">
        <is>
          <t>实际</t>
        </is>
      </c>
      <c r="F22" s="4" t="inlineStr">
        <is>
          <t>内部复盘0814 2026H1(年化)</t>
        </is>
      </c>
      <c r="G22" s="4" t="inlineStr">
        <is>
          <t>E0/E2</t>
        </is>
      </c>
      <c r="H22" s="4" t="inlineStr">
        <is>
          <t>可用</t>
        </is>
      </c>
      <c r="I22" s="4" t="inlineStr"/>
      <c r="J22" s="4" t="inlineStr"/>
      <c r="K22" s="4" t="inlineStr">
        <is>
          <t>流量口径年化；5.32亿/H1</t>
        </is>
      </c>
    </row>
    <row r="23">
      <c r="A23" s="4" t="inlineStr">
        <is>
          <t>p_badgen</t>
        </is>
      </c>
      <c r="B23" s="4" t="inlineStr">
        <is>
          <t>不良生成率(流量)</t>
        </is>
      </c>
      <c r="C23" s="4" t="n">
        <v>2.35</v>
      </c>
      <c r="D23" s="4" t="inlineStr">
        <is>
          <t>%</t>
        </is>
      </c>
      <c r="E23" s="4" t="inlineStr">
        <is>
          <t>实际</t>
        </is>
      </c>
      <c r="F23" s="4" t="inlineStr">
        <is>
          <t>内部复盘0814 2026H1</t>
        </is>
      </c>
      <c r="G23" s="4" t="inlineStr">
        <is>
          <t>E0/E2</t>
        </is>
      </c>
      <c r="H23" s="4" t="inlineStr">
        <is>
          <t>可用</t>
        </is>
      </c>
      <c r="I23" s="4" t="inlineStr"/>
      <c r="J23" s="4" t="inlineStr"/>
      <c r="K23" s="4" t="inlineStr">
        <is>
          <t>半年流量口径，未年化</t>
        </is>
      </c>
    </row>
    <row r="24">
      <c r="A24" s="4" t="inlineStr">
        <is>
          <t>p_npl</t>
        </is>
      </c>
      <c r="B24" s="4" t="inlineStr">
        <is>
          <t>不良率(存量,本金)</t>
        </is>
      </c>
      <c r="C24" s="4" t="n">
        <v>3.41</v>
      </c>
      <c r="D24" s="4" t="inlineStr">
        <is>
          <t>%</t>
        </is>
      </c>
      <c r="E24" s="4" t="inlineStr">
        <is>
          <t>实际</t>
        </is>
      </c>
      <c r="F24" s="4" t="inlineStr">
        <is>
          <t>银联报告p7/p64</t>
        </is>
      </c>
      <c r="G24" s="4" t="inlineStr">
        <is>
          <t>E1/E2</t>
        </is>
      </c>
      <c r="H24" s="4" t="inlineStr">
        <is>
          <t>可用</t>
        </is>
      </c>
      <c r="I24" s="4" t="inlineStr"/>
      <c r="J24" s="4" t="inlineStr"/>
      <c r="K24" s="4" t="inlineStr">
        <is>
          <t>M3+本金/总透支本金</t>
        </is>
      </c>
    </row>
    <row r="25">
      <c r="A25" s="4" t="inlineStr">
        <is>
          <t>p_loss</t>
        </is>
      </c>
      <c r="B25" s="4" t="inlineStr">
        <is>
          <t>损失率(存量,本金)</t>
        </is>
      </c>
      <c r="C25" s="4" t="n">
        <v>2.56</v>
      </c>
      <c r="D25" s="4" t="inlineStr">
        <is>
          <t>%</t>
        </is>
      </c>
      <c r="E25" s="4" t="inlineStr">
        <is>
          <t>实际</t>
        </is>
      </c>
      <c r="F25" s="4" t="inlineStr">
        <is>
          <t>银联报告p7</t>
        </is>
      </c>
      <c r="G25" s="4" t="inlineStr">
        <is>
          <t>E1/E2</t>
        </is>
      </c>
      <c r="H25" s="4" t="inlineStr">
        <is>
          <t>可用</t>
        </is>
      </c>
      <c r="I25" s="4" t="inlineStr"/>
      <c r="J25" s="4" t="inlineStr"/>
      <c r="K25" s="4" t="inlineStr">
        <is>
          <t>M6+本金/总透支本金</t>
        </is>
      </c>
    </row>
    <row r="26">
      <c r="A26" s="4" t="inlineStr">
        <is>
          <t>p_k1</t>
        </is>
      </c>
      <c r="B26" s="4" t="inlineStr">
        <is>
          <t>首年行为爬坡倍数</t>
        </is>
      </c>
      <c r="C26" s="4" t="n">
        <v>0.7</v>
      </c>
      <c r="D26" s="4" t="inlineStr">
        <is>
          <t>倍</t>
        </is>
      </c>
      <c r="E26" s="4" t="inlineStr">
        <is>
          <t>情景</t>
        </is>
      </c>
      <c r="F26" s="4" t="inlineStr">
        <is>
          <t>新卡首年消费/收入≈存量激活卡0.7倍</t>
        </is>
      </c>
      <c r="G26" s="4" t="inlineStr">
        <is>
          <t>E4</t>
        </is>
      </c>
      <c r="H26" s="5" t="inlineStr">
        <is>
          <t>待补</t>
        </is>
      </c>
      <c r="I26" s="4" t="n">
        <v>0.5</v>
      </c>
      <c r="J26" s="4" t="n">
        <v>1</v>
      </c>
      <c r="K26" s="4" t="inlineStr">
        <is>
          <t>待内部cohort核验</t>
        </is>
      </c>
    </row>
    <row r="27">
      <c r="A27" s="4" t="inlineStr">
        <is>
          <t>p_m1</t>
        </is>
      </c>
      <c r="B27" s="4" t="inlineStr">
        <is>
          <t>首年风险倍数</t>
        </is>
      </c>
      <c r="C27" s="4" t="n">
        <v>0.3</v>
      </c>
      <c r="D27" s="4" t="inlineStr">
        <is>
          <t>倍</t>
        </is>
      </c>
      <c r="E27" s="4" t="inlineStr">
        <is>
          <t>推导</t>
        </is>
      </c>
      <c r="F27" s="4" t="inlineStr">
        <is>
          <t>银联账龄p72：2025年开户不良0.37%/存量3.41%≈0.11；2024年开户1.43%≈0.42</t>
        </is>
      </c>
      <c r="G27" s="4" t="inlineStr">
        <is>
          <t>E2推导</t>
        </is>
      </c>
      <c r="H27" s="4" t="inlineStr">
        <is>
          <t>可用</t>
        </is>
      </c>
      <c r="I27" s="4" t="n">
        <v>0.1</v>
      </c>
      <c r="J27" s="4" t="n">
        <v>0.5</v>
      </c>
      <c r="K27" s="4" t="inlineStr">
        <is>
          <t>新客群风险显著低于存量</t>
        </is>
      </c>
    </row>
    <row r="28">
      <c r="A28" s="4" t="inlineStr">
        <is>
          <t>p_retention</t>
        </is>
      </c>
      <c r="B28" s="4" t="inlineStr">
        <is>
          <t>年留存率</t>
        </is>
      </c>
      <c r="C28" s="4" t="n">
        <v>85</v>
      </c>
      <c r="D28" s="4" t="inlineStr">
        <is>
          <t>%</t>
        </is>
      </c>
      <c r="E28" s="4" t="inlineStr">
        <is>
          <t>情景</t>
        </is>
      </c>
      <c r="F28" s="4" t="inlineStr">
        <is>
          <t>内部待补；银联月销卡率0.50%参考</t>
        </is>
      </c>
      <c r="G28" s="4" t="inlineStr">
        <is>
          <t>E4</t>
        </is>
      </c>
      <c r="H28" s="5" t="inlineStr">
        <is>
          <t>待补</t>
        </is>
      </c>
      <c r="I28" s="4" t="n">
        <v>70</v>
      </c>
      <c r="J28" s="4" t="n">
        <v>95</v>
      </c>
      <c r="K28" s="4" t="inlineStr"/>
    </row>
    <row r="29">
      <c r="A29" s="4" t="inlineStr">
        <is>
          <t>p_disc</t>
        </is>
      </c>
      <c r="B29" s="4" t="inlineStr">
        <is>
          <t>折现率</t>
        </is>
      </c>
      <c r="C29" s="4" t="n">
        <v>8</v>
      </c>
      <c r="D29" s="4" t="inlineStr">
        <is>
          <t>%</t>
        </is>
      </c>
      <c r="E29" s="4" t="inlineStr">
        <is>
          <t>情景</t>
        </is>
      </c>
      <c r="F29" s="4" t="inlineStr">
        <is>
          <t>管理口径假设；EVA资本成本0.78%过窄</t>
        </is>
      </c>
      <c r="G29" s="4" t="inlineStr">
        <is>
          <t>E4</t>
        </is>
      </c>
      <c r="H29" s="5" t="inlineStr">
        <is>
          <t>待补</t>
        </is>
      </c>
      <c r="I29" s="4" t="n">
        <v>5</v>
      </c>
      <c r="J29" s="4" t="n">
        <v>12</v>
      </c>
      <c r="K29" s="4" t="inlineStr"/>
    </row>
    <row r="30">
      <c r="A30" s="4" t="inlineStr">
        <is>
          <t>p_netmargin</t>
        </is>
      </c>
      <c r="B30" s="4" t="inlineStr">
        <is>
          <t>单位消费净贡献率</t>
        </is>
      </c>
      <c r="C30" s="4" t="n">
        <v>1.5</v>
      </c>
      <c r="D30" s="4" t="inlineStr">
        <is>
          <t>%</t>
        </is>
      </c>
      <c r="E30" s="4" t="inlineStr">
        <is>
          <t>情景</t>
        </is>
      </c>
      <c r="F30" s="4" t="inlineStr">
        <is>
          <t>含交换+分期转化，扣增量权益/资金/风险/服务</t>
        </is>
      </c>
      <c r="G30" s="4" t="inlineStr">
        <is>
          <t>E4</t>
        </is>
      </c>
      <c r="H30" s="5" t="inlineStr">
        <is>
          <t>待补</t>
        </is>
      </c>
      <c r="I30" s="4" t="n">
        <v>0.5</v>
      </c>
      <c r="J30" s="4" t="n">
        <v>3</v>
      </c>
      <c r="K30" s="4" t="inlineStr">
        <is>
          <t>用于阶段6敏感性</t>
        </is>
      </c>
    </row>
    <row r="31"/>
    <row r="32">
      <c r="A32" s="6" t="inlineStr">
        <is>
          <t>公式（研究计划6.1）</t>
        </is>
      </c>
    </row>
    <row r="33">
      <c r="A33" s="7" t="inlineStr">
        <is>
          <t>UE_preCAC = 已核实收入(交换+分期净贡献+年费及其他) − 奖励/权益 − 资金 − ECL/信用损失 − 变动服务 − 欺诈 + 可归属回收；UE_afterCAC = UE_preCAC − CAC</t>
        </is>
      </c>
    </row>
    <row r="35">
      <c r="A35" s="2" t="inlineStr">
        <is>
          <t>口径纪律：① 分期净贡献为净口径（已扣资金/服务/奖励/风险）；② ECL、核销、回收不得重复计入；③ 固定成本单列不摊入增量UE；④ 银联应计收入与行内已实现收入分列，禁止混用；⑤ 活跃/激活/有效三种分母分列（Q05）。</t>
        </is>
      </c>
    </row>
    <row r="36"/>
    <row r="38">
      <c r="A38" s="8" t="inlineStr">
        <is>
          <t>p_inst_yield</t>
        </is>
      </c>
      <c r="B38" s="8" t="inlineStr">
        <is>
          <t>卡分期产品收益率</t>
        </is>
      </c>
      <c r="C38" s="8" t="n">
        <v>4.75</v>
      </c>
      <c r="D38" s="8" t="inlineStr">
        <is>
          <t>%</t>
        </is>
      </c>
      <c r="E38" s="8" t="inlineStr">
        <is>
          <t>实际</t>
        </is>
      </c>
      <c r="F38" s="8" t="inlineStr">
        <is>
          <t>jsbank_internal.db jsbank_product_income (E0)</t>
        </is>
      </c>
      <c r="G38" s="8" t="inlineStr">
        <is>
          <t>E0</t>
        </is>
      </c>
      <c r="H38" s="8" t="inlineStr">
        <is>
          <t>可用</t>
        </is>
      </c>
      <c r="I38" s="8" t="n">
        <v>4.75</v>
      </c>
      <c r="J38" s="8" t="n">
        <v>5.99</v>
      </c>
      <c r="K38" s="8" t="inlineStr">
        <is>
          <t>2026-04: 5.99% → 2026-05: 4.75%; 日均余额201.8→198.58亿; 与复盘线上10.48%/线下4.30%口径差异待核(产品口径vs业务口径)</t>
        </is>
      </c>
    </row>
    <row r="39">
      <c r="A39" s="8" t="inlineStr">
        <is>
          <t>p_cycle_yield</t>
        </is>
      </c>
      <c r="B39" s="8" t="inlineStr">
        <is>
          <t>卡循环产品收益率</t>
        </is>
      </c>
      <c r="C39" s="8" t="n">
        <v>4.11</v>
      </c>
      <c r="D39" s="8" t="inlineStr">
        <is>
          <t>%</t>
        </is>
      </c>
      <c r="E39" s="8" t="inlineStr">
        <is>
          <t>实际</t>
        </is>
      </c>
      <c r="F39" s="8" t="inlineStr">
        <is>
          <t>jsbank_internal.db (E0)</t>
        </is>
      </c>
      <c r="G39" s="8" t="inlineStr">
        <is>
          <t>E0</t>
        </is>
      </c>
      <c r="H39" s="8" t="inlineStr">
        <is>
          <t>可用</t>
        </is>
      </c>
      <c r="I39" s="8" t="n">
        <v>4.11</v>
      </c>
      <c r="J39" s="8" t="n">
        <v>4.13</v>
      </c>
      <c r="K39" s="8" t="inlineStr">
        <is>
          <t>2026-04/05: 4.13%→4.11%; 日均53.92→53.65亿; 与复盘卡循环对客收益率3.12%(2026H1)口径差异待核</t>
        </is>
      </c>
    </row>
    <row r="40">
      <c r="A40" s="8" t="inlineStr">
        <is>
          <t>p_interchange_trend</t>
        </is>
      </c>
      <c r="B40" s="8" t="inlineStr">
        <is>
          <t>线上循环交易回佣</t>
        </is>
      </c>
      <c r="C40" s="8" t="n">
        <v>0.88</v>
      </c>
      <c r="D40" s="8" t="inlineStr">
        <is>
          <t>亿元</t>
        </is>
      </c>
      <c r="E40" s="8" t="inlineStr">
        <is>
          <t>实际</t>
        </is>
      </c>
      <c r="F40" s="8" t="inlineStr">
        <is>
          <t>零售信贷部中收_权威拆解_20260715 (E0/E2)</t>
        </is>
      </c>
      <c r="G40" s="8" t="inlineStr">
        <is>
          <t>E0/E2</t>
        </is>
      </c>
      <c r="H40" s="8" t="inlineStr">
        <is>
          <t>可用</t>
        </is>
      </c>
      <c r="I40" s="8" t="n"/>
      <c r="J40" s="8" t="n"/>
      <c r="K40" s="8" t="inlineStr">
        <is>
          <t>2024=1.5亿→2025=0.88亿(银联/网联渠道下滑+2024一次性基数回吐); 印证交换收入走弱</t>
        </is>
      </c>
    </row>
    <row r="41">
      <c r="A41" s="2" t="inlineStr">
        <is>
          <t>注：以上3行为 2026-08-21 t1核验(01报告)补充——jsbank_internal.db为E0内部财务口径，可用作生息资产收益率与FTP区间的锚点；回佣拆解印证交换收入结构性走弱。</t>
        </is>
      </c>
    </row>
  </sheetData>
  <mergeCells count="4">
    <mergeCell ref="A33:K33"/>
    <mergeCell ref="A35:K36"/>
    <mergeCell ref="A32:K32"/>
    <mergeCell ref="A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模型A：首年UE与生命周期UE（1-3年）结果</t>
        </is>
      </c>
    </row>
    <row r="2">
      <c r="A2" s="2" t="inlineStr">
        <is>
          <t>单位：元/卡（激活卡口径，除非注明）｜基准I=存量收入结构 基准II=线上+循环可及收入结构</t>
        </is>
      </c>
    </row>
    <row r="3">
      <c r="A3" s="3" t="inlineStr">
        <is>
          <t>项目</t>
        </is>
      </c>
      <c r="B3" s="3" t="inlineStr">
        <is>
          <t>基准I-存量结构</t>
        </is>
      </c>
      <c r="C3" s="3" t="inlineStr">
        <is>
          <t>基准II-线上+循环</t>
        </is>
      </c>
      <c r="D3" s="3" t="inlineStr">
        <is>
          <t>说明</t>
        </is>
      </c>
    </row>
    <row r="4">
      <c r="A4" s="6" t="inlineStr">
        <is>
          <t>【存量校验】行内财务口径 2026H1年化（E2）</t>
        </is>
      </c>
    </row>
    <row r="5">
      <c r="A5" s="4" t="inlineStr">
        <is>
          <t>营业净收入(减资金) 元/有效卡/年</t>
        </is>
      </c>
      <c r="B5" s="4" t="inlineStr">
        <is>
          <t>191.5</t>
        </is>
      </c>
      <c r="C5" s="4" t="inlineStr">
        <is>
          <t>191.5</t>
        </is>
      </c>
      <c r="D5" s="4" t="inlineStr">
        <is>
          <t>3.16亿×2/330.05万卡</t>
        </is>
      </c>
    </row>
    <row r="6">
      <c r="A6" s="4" t="inlineStr">
        <is>
          <t>核销还原不良 元/有效卡/年</t>
        </is>
      </c>
      <c r="B6" s="4" t="inlineStr">
        <is>
          <t>-322.4</t>
        </is>
      </c>
      <c r="C6" s="4" t="inlineStr">
        <is>
          <t>-322.4</t>
        </is>
      </c>
      <c r="D6" s="4" t="inlineStr">
        <is>
          <t>5.32亿×2/330.05万卡</t>
        </is>
      </c>
    </row>
    <row r="7">
      <c r="A7" s="4" t="inlineStr">
        <is>
          <t>直接费用 元/有效卡/年</t>
        </is>
      </c>
      <c r="B7" s="4" t="inlineStr">
        <is>
          <t>-22.4</t>
        </is>
      </c>
      <c r="C7" s="4" t="inlineStr">
        <is>
          <t>-22.4</t>
        </is>
      </c>
      <c r="D7" s="4" t="inlineStr">
        <is>
          <t>0.37亿×2/330.05万卡</t>
        </is>
      </c>
    </row>
    <row r="8">
      <c r="A8" s="4" t="inlineStr">
        <is>
          <t>净利润(不考虑所得税) 元/有效卡/年</t>
        </is>
      </c>
      <c r="B8" s="4" t="inlineStr">
        <is>
          <t>-153.3</t>
        </is>
      </c>
      <c r="C8" s="4" t="inlineStr">
        <is>
          <t>-153.3</t>
        </is>
      </c>
      <c r="D8" s="4">
        <f>191.5-322.4-22.4；与复盘-2.53亿/H1完全勾稽✓</f>
        <v/>
      </c>
    </row>
    <row r="9">
      <c r="A9" s="4" t="inlineStr">
        <is>
          <t>换算：元/激活卡/年(÷60.39%)</t>
        </is>
      </c>
      <c r="B9" s="4" t="inlineStr">
        <is>
          <t>-253.9</t>
        </is>
      </c>
      <c r="C9" s="4" t="inlineStr">
        <is>
          <t>-253.9</t>
        </is>
      </c>
      <c r="D9" s="4" t="inlineStr"/>
    </row>
    <row r="10">
      <c r="A10" s="6" t="inlineStr">
        <is>
          <t>【首年UE】新增激活卡（E4情景，锚定E2）</t>
        </is>
      </c>
    </row>
    <row r="11">
      <c r="A11" s="4" t="inlineStr">
        <is>
          <t>首年已实现净收入(减资金) = 收入基准×k1(0.7)</t>
        </is>
      </c>
      <c r="B11" s="4" t="inlineStr">
        <is>
          <t>221.9</t>
        </is>
      </c>
      <c r="C11" s="4" t="inlineStr">
        <is>
          <t>117.3</t>
        </is>
      </c>
      <c r="D11" s="4" t="inlineStr">
        <is>
          <t>基准II=线上1.32+循环0.35亿/H1年化÷激活卡</t>
        </is>
      </c>
    </row>
    <row r="12">
      <c r="A12" s="4" t="inlineStr">
        <is>
          <t>首年核销还原风险 = 533.8×k1×m1(0.3)</t>
        </is>
      </c>
      <c r="B12" s="4" t="inlineStr">
        <is>
          <t>-112.1</t>
        </is>
      </c>
      <c r="C12" s="4" t="inlineStr">
        <is>
          <t>-112.1</t>
        </is>
      </c>
      <c r="D12" s="4" t="inlineStr">
        <is>
          <t>m1依据：2025开户不良0.37%/存量3.41%</t>
        </is>
      </c>
    </row>
    <row r="13">
      <c r="A13" s="4" t="inlineStr">
        <is>
          <t>直接费用 = 37.1×k1</t>
        </is>
      </c>
      <c r="B13" s="4" t="inlineStr">
        <is>
          <t>-26.0</t>
        </is>
      </c>
      <c r="C13" s="4" t="inlineStr">
        <is>
          <t>-26.0</t>
        </is>
      </c>
      <c r="D13" s="4" t="inlineStr"/>
    </row>
    <row r="14">
      <c r="A14" s="4" t="inlineStr">
        <is>
          <t>变动成本(权益60+服务30+欺诈10)×k1</t>
        </is>
      </c>
      <c r="B14" s="4" t="inlineStr">
        <is>
          <t>-70.0</t>
        </is>
      </c>
      <c r="C14" s="4" t="inlineStr">
        <is>
          <t>-70.0</t>
        </is>
      </c>
      <c r="D14" s="4" t="inlineStr">
        <is>
          <t>待补项E4基准值</t>
        </is>
      </c>
    </row>
    <row r="15">
      <c r="A15" s="4" t="inlineStr">
        <is>
          <t>可归属回收 = 15×k1</t>
        </is>
      </c>
      <c r="B15" s="4" t="inlineStr">
        <is>
          <t>10.5</t>
        </is>
      </c>
      <c r="C15" s="4" t="inlineStr">
        <is>
          <t>10.5</t>
        </is>
      </c>
      <c r="D15" s="4" t="inlineStr"/>
    </row>
    <row r="16">
      <c r="A16" s="4" t="inlineStr">
        <is>
          <t>UE_preCAC（首年）</t>
        </is>
      </c>
      <c r="B16" s="4" t="inlineStr">
        <is>
          <t>24.3</t>
        </is>
      </c>
      <c r="C16" s="4" t="inlineStr">
        <is>
          <t>-80.3</t>
        </is>
      </c>
      <c r="D16" s="4" t="inlineStr">
        <is>
          <t>基准II下首年preCAC已为负</t>
        </is>
      </c>
    </row>
    <row r="17">
      <c r="A17" s="4" t="inlineStr">
        <is>
          <t>CAC（E4基准500元）</t>
        </is>
      </c>
      <c r="B17" s="4" t="inlineStr">
        <is>
          <t>-500.0</t>
        </is>
      </c>
      <c r="C17" s="4" t="inlineStr">
        <is>
          <t>-500.0</t>
        </is>
      </c>
      <c r="D17" s="4" t="inlineStr">
        <is>
          <t>待补P0</t>
        </is>
      </c>
    </row>
    <row r="18">
      <c r="A18" s="4" t="inlineStr">
        <is>
          <t>UE_afterCAC（首年）</t>
        </is>
      </c>
      <c r="B18" s="4" t="inlineStr">
        <is>
          <t>-475.7</t>
        </is>
      </c>
      <c r="C18" s="4" t="inlineStr">
        <is>
          <t>-580.3</t>
        </is>
      </c>
      <c r="D18" s="4" t="inlineStr">
        <is>
          <t>盈亏平衡CAC：24元（基准I）/ 为负（基准II）</t>
        </is>
      </c>
    </row>
    <row r="19">
      <c r="A19" s="6" t="inlineStr">
        <is>
          <t>【生命周期UE 1-3年】留存85%、折现8%（E4）</t>
        </is>
      </c>
    </row>
    <row r="20">
      <c r="A20" s="4" t="inlineStr">
        <is>
          <t>Y1 UE（存活1.00）</t>
        </is>
      </c>
      <c r="B20" s="4" t="inlineStr">
        <is>
          <t>24.3</t>
        </is>
      </c>
      <c r="C20" s="4" t="inlineStr">
        <is>
          <t>-80.3</t>
        </is>
      </c>
      <c r="D20" s="4" t="inlineStr">
        <is>
          <t>k1=0.7 m1=0.3</t>
        </is>
      </c>
    </row>
    <row r="21">
      <c r="A21" s="4" t="inlineStr">
        <is>
          <t>Y2 UE（存活0.85）</t>
        </is>
      </c>
      <c r="B21" s="4" t="inlineStr">
        <is>
          <t>-40.8</t>
        </is>
      </c>
      <c r="C21" s="4" t="inlineStr">
        <is>
          <t>-175.3</t>
        </is>
      </c>
      <c r="D21" s="4" t="inlineStr">
        <is>
          <t>k2=0.9 m2=0.45</t>
        </is>
      </c>
    </row>
    <row r="22">
      <c r="A22" s="4" t="inlineStr">
        <is>
          <t>Y3 UE（存活0.72）</t>
        </is>
      </c>
      <c r="B22" s="4" t="inlineStr">
        <is>
          <t>-125.4</t>
        </is>
      </c>
      <c r="C22" s="4" t="inlineStr">
        <is>
          <t>-274.8</t>
        </is>
      </c>
      <c r="D22" s="4" t="inlineStr">
        <is>
          <t>k3=1.0 m3=0.6（风险向存量收敛）</t>
        </is>
      </c>
    </row>
    <row r="23">
      <c r="A23" s="4" t="inlineStr">
        <is>
          <t>LTV 1-3年 preCAC（PV@8%）</t>
        </is>
      </c>
      <c r="B23" s="4" t="inlineStr">
        <is>
          <t>-79.1</t>
        </is>
      </c>
      <c r="C23" s="4" t="inlineStr">
        <is>
          <t>-359.8</t>
        </is>
      </c>
      <c r="D23" s="4" t="inlineStr"/>
    </row>
    <row r="24">
      <c r="A24" s="4" t="inlineStr">
        <is>
          <t>LTV 1-3年 afterCAC（CAC=500）</t>
        </is>
      </c>
      <c r="B24" s="4" t="inlineStr">
        <is>
          <t>-579.1</t>
        </is>
      </c>
      <c r="C24" s="4" t="inlineStr">
        <is>
          <t>-859.8</t>
        </is>
      </c>
      <c r="D24" s="4" t="inlineStr"/>
    </row>
    <row r="25">
      <c r="A25" s="6" t="inlineStr">
        <is>
          <t>【情景】优质客群 m=0.2/0.3/0.4, r=90%</t>
        </is>
      </c>
    </row>
    <row r="26">
      <c r="A26" s="4" t="inlineStr">
        <is>
          <t>LTV afterCAC（CAC=500）</t>
        </is>
      </c>
      <c r="B26" s="4" t="inlineStr">
        <is>
          <t>-430.7</t>
        </is>
      </c>
      <c r="C26" s="4" t="inlineStr">
        <is>
          <t>-</t>
        </is>
      </c>
      <c r="D26" s="4" t="inlineStr">
        <is>
          <t>即使最优客群假设仍难覆盖CAC≥500</t>
        </is>
      </c>
    </row>
    <row r="27">
      <c r="A27" s="6" t="inlineStr">
        <is>
          <t>【情景】压力：风险×2.2(银联2027-06未核销预测7.42%), r=80%</t>
        </is>
      </c>
    </row>
    <row r="28">
      <c r="A28" s="4" t="inlineStr">
        <is>
          <t>LTV afterCAC（CAC=500）</t>
        </is>
      </c>
      <c r="B28" s="4" t="inlineStr">
        <is>
          <t>-1067.0</t>
        </is>
      </c>
      <c r="C28" s="4" t="inlineStr">
        <is>
          <t>-</t>
        </is>
      </c>
      <c r="D28" s="4" t="inlineStr">
        <is>
          <t>银联p73预测仅作压力情景，不作基准</t>
        </is>
      </c>
    </row>
    <row r="30">
      <c r="A30" s="6" t="inlineStr">
        <is>
          <t>敏感性网格（首年UE_afterCAC，基准I，E4情景演示，供阶段6正式敏感性复用）</t>
        </is>
      </c>
    </row>
    <row r="31">
      <c r="A31" s="3" t="inlineStr">
        <is>
          <t>CAC×交易分期率</t>
        </is>
      </c>
      <c r="B31" s="3" t="inlineStr">
        <is>
          <t>CAC=200</t>
        </is>
      </c>
      <c r="C31" s="3" t="inlineStr">
        <is>
          <t>CAC=500</t>
        </is>
      </c>
      <c r="D31" s="3" t="inlineStr">
        <is>
          <t>CAC=800</t>
        </is>
      </c>
      <c r="E31" s="3" t="inlineStr">
        <is>
          <t>CAC=1200</t>
        </is>
      </c>
      <c r="F31" s="3" t="inlineStr">
        <is>
          <t>CAC=2000</t>
        </is>
      </c>
    </row>
    <row r="32">
      <c r="A32" s="8" t="inlineStr">
        <is>
          <t>10%</t>
        </is>
      </c>
      <c r="B32" s="8" t="n">
        <v>-214.7</v>
      </c>
      <c r="C32" s="8" t="n">
        <v>-514.7</v>
      </c>
      <c r="D32" s="8" t="n">
        <v>-814.7</v>
      </c>
      <c r="E32" s="8" t="n">
        <v>-1214.7</v>
      </c>
      <c r="F32" s="8" t="n">
        <v>-2014.7</v>
      </c>
    </row>
    <row r="33">
      <c r="A33" s="8" t="inlineStr">
        <is>
          <t>20%</t>
        </is>
      </c>
      <c r="B33" s="8" t="n">
        <v>-195.2</v>
      </c>
      <c r="C33" s="8" t="n">
        <v>-495.2</v>
      </c>
      <c r="D33" s="8" t="n">
        <v>-795.2</v>
      </c>
      <c r="E33" s="8" t="n">
        <v>-1195.2</v>
      </c>
      <c r="F33" s="8" t="n">
        <v>-1995.2</v>
      </c>
    </row>
    <row r="34">
      <c r="A34" s="8" t="inlineStr">
        <is>
          <t>30%</t>
        </is>
      </c>
      <c r="B34" s="8" t="n">
        <v>-175.7</v>
      </c>
      <c r="C34" s="8" t="n">
        <v>-475.7</v>
      </c>
      <c r="D34" s="8" t="n">
        <v>-775.7</v>
      </c>
      <c r="E34" s="8" t="n">
        <v>-1175.7</v>
      </c>
      <c r="F34" s="8" t="n">
        <v>-1975.7</v>
      </c>
    </row>
    <row r="35">
      <c r="A35" s="8" t="inlineStr">
        <is>
          <t>40%</t>
        </is>
      </c>
      <c r="B35" s="8" t="n">
        <v>-156.1</v>
      </c>
      <c r="C35" s="8" t="n">
        <v>-456.1</v>
      </c>
      <c r="D35" s="8" t="n">
        <v>-756.1</v>
      </c>
      <c r="E35" s="8" t="n">
        <v>-1156.1</v>
      </c>
      <c r="F35" s="8" t="n">
        <v>-1956.1</v>
      </c>
    </row>
    <row r="36">
      <c r="A36" s="8" t="inlineStr">
        <is>
          <t>50%</t>
        </is>
      </c>
      <c r="B36" s="8" t="n">
        <v>-136.6</v>
      </c>
      <c r="C36" s="8" t="n">
        <v>-436.6</v>
      </c>
      <c r="D36" s="8" t="n">
        <v>-736.6</v>
      </c>
      <c r="E36" s="8" t="n">
        <v>-1136.6</v>
      </c>
      <c r="F36" s="8" t="n">
        <v>-1936.6</v>
      </c>
    </row>
    <row r="37">
      <c r="A37" s="3" t="inlineStr">
        <is>
          <t>单卡消费×坏账率(存量)</t>
        </is>
      </c>
      <c r="B37" s="3" t="inlineStr">
        <is>
          <t>消费400元/月</t>
        </is>
      </c>
      <c r="C37" s="3" t="inlineStr">
        <is>
          <t>消费500</t>
        </is>
      </c>
      <c r="D37" s="3" t="inlineStr">
        <is>
          <t>消费573</t>
        </is>
      </c>
      <c r="E37" s="3" t="inlineStr">
        <is>
          <t>消费700</t>
        </is>
      </c>
      <c r="F37" s="3" t="inlineStr">
        <is>
          <t>消费900</t>
        </is>
      </c>
    </row>
    <row r="38">
      <c r="A38" s="8" t="inlineStr">
        <is>
          <t>3.4%</t>
        </is>
      </c>
      <c r="B38" s="8" t="n">
        <v>-485.4</v>
      </c>
      <c r="C38" s="8" t="n">
        <v>-481.7</v>
      </c>
      <c r="D38" s="8" t="n">
        <v>-479</v>
      </c>
      <c r="E38" s="8" t="n">
        <v>-474.4</v>
      </c>
      <c r="F38" s="8" t="n">
        <v>-467</v>
      </c>
    </row>
    <row r="39">
      <c r="A39" s="8" t="inlineStr">
        <is>
          <t>5.0%</t>
        </is>
      </c>
      <c r="B39" s="8" t="n">
        <v>-516.8</v>
      </c>
      <c r="C39" s="8" t="n">
        <v>-521</v>
      </c>
      <c r="D39" s="8" t="n">
        <v>-524.1</v>
      </c>
      <c r="E39" s="8" t="n">
        <v>-529.5</v>
      </c>
      <c r="F39" s="8" t="n">
        <v>-537.9</v>
      </c>
    </row>
    <row r="40">
      <c r="A40" s="8" t="inlineStr">
        <is>
          <t>7.4%</t>
        </is>
      </c>
      <c r="B40" s="8" t="n">
        <v>-564.8</v>
      </c>
      <c r="C40" s="8" t="n">
        <v>-580.9</v>
      </c>
      <c r="D40" s="8" t="n">
        <v>-592.8</v>
      </c>
      <c r="E40" s="8" t="n">
        <v>-613.3</v>
      </c>
      <c r="F40" s="8" t="n">
        <v>-645.7</v>
      </c>
    </row>
    <row r="41">
      <c r="A41" s="8" t="inlineStr">
        <is>
          <t>10.0%</t>
        </is>
      </c>
      <c r="B41" s="8" t="n">
        <v>-615.8</v>
      </c>
      <c r="C41" s="8" t="n">
        <v>-644.8</v>
      </c>
      <c r="D41" s="8" t="n">
        <v>-665.9</v>
      </c>
      <c r="E41" s="8" t="n">
        <v>-702.7</v>
      </c>
      <c r="F41" s="8" t="n">
        <v>-760.6</v>
      </c>
    </row>
    <row r="42">
      <c r="A42" s="8" t="inlineStr">
        <is>
          <t>12.0%</t>
        </is>
      </c>
      <c r="B42" s="8" t="n">
        <v>-655.4</v>
      </c>
      <c r="C42" s="8" t="n">
        <v>-694.3</v>
      </c>
      <c r="D42" s="8" t="n">
        <v>-722.7</v>
      </c>
      <c r="E42" s="8" t="n">
        <v>-772</v>
      </c>
      <c r="F42" s="8" t="n">
        <v>-849.7</v>
      </c>
    </row>
    <row r="44">
      <c r="A44" s="9" t="inlineStr">
        <is>
          <t>关键结论（区分事实与假设）：</t>
        </is>
      </c>
    </row>
    <row r="45">
      <c r="A45" s="7" t="inlineStr">
        <is>
          <t>• 事实(E2)：存量每有效卡年亏损≈153元（2026H1年化），每激活卡≈254元/年。</t>
        </is>
      </c>
    </row>
    <row r="46">
      <c r="A46" s="7" t="inlineStr">
        <is>
          <t>• 假设(E4)：现行收入/成本结构下，新增激活卡首年UE_afterCAC为负（CAC≥200即全网格为负）；盈亏平衡CAC仅≈24元/卡，任何现实CAC均不可达。</t>
        </is>
      </c>
    </row>
    <row r="47">
      <c r="A47" s="7" t="inlineStr">
        <is>
          <t>• 假设(E4)：分期率+10pp仅改善≈20元/卡/年；单卡消费+100元/月仅改善≈3.7元/卡/年；坏账率+1pp恶化≈33-55元/卡/年——杠杆排序：CAC管控＞客群风险＞分期深度＞消费量。</t>
        </is>
      </c>
    </row>
    <row r="48">
      <c r="A48" s="7" t="inlineStr">
        <is>
          <t>• 结论均依赖待补P0参数（CAC/权益成本/服务/欺诈/回收），数值为方向性情景而非预测；内部cohort数据到位后必须重算。</t>
        </is>
      </c>
    </row>
    <row r="50">
      <c r="A50" s="6" t="inlineStr">
        <is>
          <t>标准化弹性分析（E4参数区间，用于t3敏感性；非利润预测）</t>
        </is>
      </c>
    </row>
    <row r="51">
      <c r="A51" s="10" t="inlineStr">
        <is>
          <t>变量</t>
        </is>
      </c>
      <c r="B51" s="10" t="inlineStr">
        <is>
          <t>基准变动</t>
        </is>
      </c>
      <c r="C51" s="10" t="inlineStr">
        <is>
          <t>ΔUE(元/激活卡/年)</t>
        </is>
      </c>
      <c r="D51" s="10" t="inlineStr">
        <is>
          <t>弹性区间(参数区间内)</t>
        </is>
      </c>
      <c r="E51" s="10" t="inlineStr">
        <is>
          <t>说明</t>
        </is>
      </c>
    </row>
    <row r="52">
      <c r="A52" s="4" t="inlineStr">
        <is>
          <t>CAC</t>
        </is>
      </c>
      <c r="B52" s="4" t="inlineStr">
        <is>
          <t>+100元/卡</t>
        </is>
      </c>
      <c r="C52" s="4" t="inlineStr">
        <is>
          <t>-100.0</t>
        </is>
      </c>
      <c r="D52" s="4" t="inlineStr">
        <is>
          <t>-100（线性，无区间）</t>
        </is>
      </c>
      <c r="E52" s="4" t="inlineStr">
        <is>
          <t>UE_afterCAC 对 CAC 弹性恒为 -1×ΔCAC</t>
        </is>
      </c>
    </row>
    <row r="53">
      <c r="A53" s="4" t="inlineStr">
        <is>
          <t>交易分期率</t>
        </is>
      </c>
      <c r="B53" s="4" t="inlineStr">
        <is>
          <t>+10pp</t>
        </is>
      </c>
      <c r="C53" s="4" t="inlineStr">
        <is>
          <t>+19.5</t>
        </is>
      </c>
      <c r="D53" s="4" t="inlineStr">
        <is>
          <t>+9.8 ~ +39.0（净贡献率2%-5%）</t>
        </is>
      </c>
      <c r="E53" s="4">
        <f>可分期交易额(首年5,579元)×Δ10pp×净贡献率3.5%；已扣资金/服务/奖励/风险</f>
        <v/>
      </c>
    </row>
    <row r="54">
      <c r="A54" s="4" t="inlineStr">
        <is>
          <t>坏账率(存量)</t>
        </is>
      </c>
      <c r="B54" s="4" t="inlineStr">
        <is>
          <t>+1pp</t>
        </is>
      </c>
      <c r="C54" s="4" t="inlineStr">
        <is>
          <t>-33 ~ -55</t>
        </is>
      </c>
      <c r="D54" s="4" t="inlineStr">
        <is>
          <t>随风险暴露区间变化</t>
        </is>
      </c>
      <c r="E54" s="4">
        <f>风险暴露×Δ坏账率×LGD；基准暴露=首年垫款6,475元×m1</f>
        <v/>
      </c>
    </row>
    <row r="55">
      <c r="A55" s="4" t="inlineStr">
        <is>
          <t>单卡消费</t>
        </is>
      </c>
      <c r="B55" s="4" t="inlineStr">
        <is>
          <t>+100元/月</t>
        </is>
      </c>
      <c r="C55" s="4" t="inlineStr">
        <is>
          <t>+3.7</t>
        </is>
      </c>
      <c r="D55" s="4" t="inlineStr">
        <is>
          <t>+1.2 ~ +7.3（净贡献率0.5%-3.0%）</t>
        </is>
      </c>
      <c r="E55" s="4" t="inlineStr">
        <is>
          <t>增量消费净贡献率≈0.3%(交换0.199%+分期转化-增量权益/资金/风险)；消费量非杠杆</t>
        </is>
      </c>
    </row>
    <row r="56">
      <c r="A56" s="4" t="inlineStr">
        <is>
          <t>留存率</t>
        </is>
      </c>
      <c r="B56" s="4" t="inlineStr">
        <is>
          <t>+5pp</t>
        </is>
      </c>
      <c r="C56" s="4" t="inlineStr">
        <is>
          <t>（LTV +12 ~ +30）</t>
        </is>
      </c>
      <c r="D56" s="4" t="inlineStr">
        <is>
          <t>方向性</t>
        </is>
      </c>
      <c r="E56" s="4" t="inlineStr">
        <is>
          <t>对3年LTV的影响，需t3在生命周期视图复算</t>
        </is>
      </c>
    </row>
    <row r="57">
      <c r="A57" s="4" t="inlineStr">
        <is>
          <t>风险倍数m1</t>
        </is>
      </c>
      <c r="B57" s="4" t="inlineStr">
        <is>
          <t>-0.1(0.3→0.2)</t>
        </is>
      </c>
      <c r="C57" s="4" t="inlineStr">
        <is>
          <t>+37.4</t>
        </is>
      </c>
      <c r="D57" s="4" t="inlineStr">
        <is>
          <t>方向性</t>
        </is>
      </c>
      <c r="E57" s="4" t="inlineStr">
        <is>
          <t>客群质量改善的直接收益=533.8×k1×Δm1</t>
        </is>
      </c>
    </row>
    <row r="58">
      <c r="A58" s="2" t="inlineStr">
        <is>
          <t>纪律：以上均为E4情景弹性（基于E2实际锚点），用于比较变量杠杆排序，不得解释为实际利润预测；P0参数（CAC/权益/服务/欺诈/回收/切片）到位后以实际值重算。</t>
        </is>
      </c>
    </row>
  </sheetData>
  <mergeCells count="7">
    <mergeCell ref="A47:F47"/>
    <mergeCell ref="A46:F46"/>
    <mergeCell ref="A45:F45"/>
    <mergeCell ref="A58:F58"/>
    <mergeCell ref="A50:F50"/>
    <mergeCell ref="A48:F48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8" customWidth="1" min="5" max="5"/>
    <col width="9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12" customWidth="1" min="19" max="19"/>
  </cols>
  <sheetData>
    <row r="1">
      <c r="A1" s="1" t="inlineStr">
        <is>
          <t>模型B：产品组合贡献矩阵（银联卡产品大类，2026-07）</t>
        </is>
      </c>
    </row>
    <row r="2">
      <c r="A2" s="2" t="inlineStr">
        <is>
          <t>来源：银联报告p96-101（E1/E2，不得转载）；派生列=E4推导；待补项黄色标注</t>
        </is>
      </c>
    </row>
    <row r="3">
      <c r="A3" s="3" t="inlineStr">
        <is>
          <t>产品大类</t>
        </is>
      </c>
      <c r="B3" s="3" t="inlineStr">
        <is>
          <t>有效卡量(万)</t>
        </is>
      </c>
      <c r="C3" s="3" t="inlineStr">
        <is>
          <t>卡量占比</t>
        </is>
      </c>
      <c r="D3" s="3" t="inlineStr">
        <is>
          <t>激活率</t>
        </is>
      </c>
      <c r="E3" s="3" t="inlineStr">
        <is>
          <t>30天活跃率</t>
        </is>
      </c>
      <c r="F3" s="3" t="inlineStr">
        <is>
          <t>月消费(亿)</t>
        </is>
      </c>
      <c r="G3" s="3" t="inlineStr">
        <is>
          <t>月收入(万)</t>
        </is>
      </c>
      <c r="H3" s="3" t="inlineStr">
        <is>
          <t>收入占比</t>
        </is>
      </c>
      <c r="I3" s="3" t="inlineStr">
        <is>
          <t>卡均收入(元/月)</t>
        </is>
      </c>
      <c r="J3" s="3" t="inlineStr">
        <is>
          <t>卡均年收入(元)</t>
        </is>
      </c>
      <c r="K3" s="3" t="inlineStr">
        <is>
          <t>活跃卡均年收入(元)</t>
        </is>
      </c>
      <c r="L3" s="3" t="inlineStr">
        <is>
          <t>透支(亿)</t>
        </is>
      </c>
      <c r="M3" s="3" t="inlineStr">
        <is>
          <t>生息资产占比</t>
        </is>
      </c>
      <c r="N3" s="3" t="inlineStr">
        <is>
          <t>不良率</t>
        </is>
      </c>
      <c r="O3" s="3" t="inlineStr">
        <is>
          <t>损失率</t>
        </is>
      </c>
      <c r="P3" s="3" t="inlineStr">
        <is>
          <t>风险成本(元/卡/年)</t>
        </is>
      </c>
      <c r="Q3" s="3" t="inlineStr">
        <is>
          <t>资金成本(元/卡/年)</t>
        </is>
      </c>
      <c r="R3" s="3" t="inlineStr">
        <is>
          <t>UE初判(元/卡/年,E4)</t>
        </is>
      </c>
      <c r="S3" s="3" t="inlineStr">
        <is>
          <t>分类与备注</t>
        </is>
      </c>
    </row>
    <row r="4">
      <c r="A4" s="4" t="inlineStr">
        <is>
          <t>标准卡类</t>
        </is>
      </c>
      <c r="B4" s="4" t="n">
        <v>38.9</v>
      </c>
      <c r="C4" s="4" t="inlineStr">
        <is>
          <t>11.8%</t>
        </is>
      </c>
      <c r="D4" s="4" t="inlineStr">
        <is>
          <t>57.32%</t>
        </is>
      </c>
      <c r="E4" s="4" t="inlineStr">
        <is>
          <t>35.62%</t>
        </is>
      </c>
      <c r="F4" s="4" t="n">
        <v>4.5</v>
      </c>
      <c r="G4" s="4" t="n">
        <v>2281.63</v>
      </c>
      <c r="H4" s="4" t="inlineStr">
        <is>
          <t>11.2%</t>
        </is>
      </c>
      <c r="I4" s="4" t="n">
        <v>58.66</v>
      </c>
      <c r="J4" s="4" t="n">
        <v>704</v>
      </c>
      <c r="K4" s="4" t="n">
        <v>1976</v>
      </c>
      <c r="L4" s="4" t="n">
        <v>18.29</v>
      </c>
      <c r="M4" s="4" t="inlineStr">
        <is>
          <t>64.63%</t>
        </is>
      </c>
      <c r="N4" s="4" t="inlineStr">
        <is>
          <t>5.62%</t>
        </is>
      </c>
      <c r="O4" s="4" t="inlineStr">
        <is>
          <t>4.46%</t>
        </is>
      </c>
      <c r="P4" s="4" t="n">
        <v>210</v>
      </c>
      <c r="Q4" s="4" t="n">
        <v>108</v>
      </c>
      <c r="R4" s="4" t="n">
        <v>372</v>
      </c>
      <c r="S4" s="4" t="inlineStr">
        <is>
          <t>潜力：卡均消费/活跃率全行最高；但不良5.62%偏高（金卡达7.49%），需风控与定价精细化</t>
        </is>
      </c>
    </row>
    <row r="5">
      <c r="A5" s="4" t="inlineStr">
        <is>
          <t>主题卡类</t>
        </is>
      </c>
      <c r="B5" s="4" t="n">
        <v>126.51</v>
      </c>
      <c r="C5" s="4" t="inlineStr">
        <is>
          <t>38.3%</t>
        </is>
      </c>
      <c r="D5" s="4" t="inlineStr">
        <is>
          <t>82.75%</t>
        </is>
      </c>
      <c r="E5" s="4" t="inlineStr">
        <is>
          <t>32.05%</t>
        </is>
      </c>
      <c r="F5" s="4" t="n">
        <v>5.86</v>
      </c>
      <c r="G5" s="4" t="n">
        <v>15367.43</v>
      </c>
      <c r="H5" s="4" t="inlineStr">
        <is>
          <t>75.7%</t>
        </is>
      </c>
      <c r="I5" s="4" t="n">
        <v>121.47</v>
      </c>
      <c r="J5" s="4" t="n">
        <v>1458</v>
      </c>
      <c r="K5" s="4" t="n">
        <v>4548</v>
      </c>
      <c r="L5" s="4" t="n">
        <v>153.98</v>
      </c>
      <c r="M5" s="4" t="inlineStr">
        <is>
          <t>90.19%</t>
        </is>
      </c>
      <c r="N5" s="4" t="inlineStr">
        <is>
          <t>3.13%</t>
        </is>
      </c>
      <c r="O5" s="4" t="inlineStr">
        <is>
          <t>2.37%</t>
        </is>
      </c>
      <c r="P5" s="4" t="n">
        <v>288</v>
      </c>
      <c r="Q5" s="4" t="n">
        <v>280</v>
      </c>
      <c r="R5" s="4" t="n">
        <v>852</v>
      </c>
      <c r="S5" s="4" t="inlineStr">
        <is>
          <t>高价值(收入/资产引擎)：透支77%、收入76%；但卡均消费462元低于全行均值、睡眠47%——信贷价值高、支付黏性弱(H2部分支持)</t>
        </is>
      </c>
    </row>
    <row r="6">
      <c r="A6" s="4" t="inlineStr">
        <is>
          <t>联名卡类</t>
        </is>
      </c>
      <c r="B6" s="4" t="n">
        <v>129.77</v>
      </c>
      <c r="C6" s="4" t="inlineStr">
        <is>
          <t>39.3%</t>
        </is>
      </c>
      <c r="D6" s="4" t="inlineStr">
        <is>
          <t>40.66%</t>
        </is>
      </c>
      <c r="E6" s="4" t="inlineStr">
        <is>
          <t>20.38%</t>
        </is>
      </c>
      <c r="F6" s="4" t="n">
        <v>5.58</v>
      </c>
      <c r="G6" s="4" t="n">
        <v>1553.42</v>
      </c>
      <c r="H6" s="4" t="inlineStr">
        <is>
          <t>7.7%</t>
        </is>
      </c>
      <c r="I6" s="4" t="n">
        <v>11.97</v>
      </c>
      <c r="J6" s="4" t="n">
        <v>144</v>
      </c>
      <c r="K6" s="4" t="n">
        <v>705</v>
      </c>
      <c r="L6" s="4" t="n">
        <v>15.35</v>
      </c>
      <c r="M6" s="4" t="inlineStr">
        <is>
          <t>57.43%</t>
        </is>
      </c>
      <c r="N6" s="4" t="inlineStr">
        <is>
          <t>2.33%</t>
        </is>
      </c>
      <c r="O6" s="4" t="inlineStr">
        <is>
          <t>1.24%</t>
        </is>
      </c>
      <c r="P6" s="4" t="n">
        <v>15</v>
      </c>
      <c r="Q6" s="4" t="n">
        <v>27</v>
      </c>
      <c r="R6" s="4" t="n">
        <v>98</v>
      </c>
      <c r="S6" s="4" t="inlineStr">
        <is>
          <t>低效/沉睡：39%卡量仅7.7%收入；激活率最低40.7%、睡眠65%(84.6万张)；蚂蚁宝藏(≈99万张)+京东(≈24万张)两大电商卡为主(H3支持)</t>
        </is>
      </c>
    </row>
    <row r="7">
      <c r="A7" s="4" t="inlineStr">
        <is>
          <t>单位卡类</t>
        </is>
      </c>
      <c r="B7" s="4" t="n">
        <v>8.210000000000001</v>
      </c>
      <c r="C7" s="4" t="inlineStr">
        <is>
          <t>2.5%</t>
        </is>
      </c>
      <c r="D7" s="4" t="inlineStr">
        <is>
          <t>70.95%</t>
        </is>
      </c>
      <c r="E7" s="4" t="inlineStr">
        <is>
          <t>41.90%</t>
        </is>
      </c>
      <c r="F7" s="4" t="n">
        <v>2.42</v>
      </c>
      <c r="G7" s="4" t="n">
        <v>136.7</v>
      </c>
      <c r="H7" s="4" t="inlineStr">
        <is>
          <t>0.7%</t>
        </is>
      </c>
      <c r="I7" s="4" t="n">
        <v>16.64</v>
      </c>
      <c r="J7" s="4" t="n">
        <v>200</v>
      </c>
      <c r="K7" s="4" t="n">
        <v>477</v>
      </c>
      <c r="L7" s="4" t="n">
        <v>3.14</v>
      </c>
      <c r="M7" s="4" t="inlineStr">
        <is>
          <t>44.15%</t>
        </is>
      </c>
      <c r="N7" s="4" t="inlineStr">
        <is>
          <t>0.70%</t>
        </is>
      </c>
      <c r="O7" s="4" t="inlineStr">
        <is>
          <t>0.56%</t>
        </is>
      </c>
      <c r="P7" s="4" t="n">
        <v>21</v>
      </c>
      <c r="Q7" s="4" t="n">
        <v>88</v>
      </c>
      <c r="R7" s="4" t="n">
        <v>78</v>
      </c>
      <c r="S7" s="4" t="inlineStr">
        <is>
          <t>潜力/入口：活跃率与卡均消费(2947元)全行最高、风险最低；信贷浅(使用率7.4%)——低成本对公/代发入口，非利润中心(H4支持)</t>
        </is>
      </c>
    </row>
    <row r="8">
      <c r="A8" s="4" t="inlineStr">
        <is>
          <t>分期卡类</t>
        </is>
      </c>
      <c r="B8" s="4" t="n">
        <v>24.97</v>
      </c>
      <c r="C8" s="4" t="inlineStr">
        <is>
          <t>7.6%</t>
        </is>
      </c>
      <c r="D8" s="4" t="inlineStr">
        <is>
          <t>50.81%</t>
        </is>
      </c>
      <c r="E8" s="4" t="inlineStr">
        <is>
          <t>5.25%</t>
        </is>
      </c>
      <c r="F8" s="4" t="n">
        <v>0.3</v>
      </c>
      <c r="G8" s="4" t="n">
        <v>917.98</v>
      </c>
      <c r="H8" s="4" t="inlineStr">
        <is>
          <t>4.5%</t>
        </is>
      </c>
      <c r="I8" s="4" t="n">
        <v>36.76</v>
      </c>
      <c r="J8" s="4" t="n">
        <v>441</v>
      </c>
      <c r="K8" s="4" t="n">
        <v>8402</v>
      </c>
      <c r="L8" s="4" t="n">
        <v>8.33</v>
      </c>
      <c r="M8" s="4" t="inlineStr">
        <is>
          <t>72.60%</t>
        </is>
      </c>
      <c r="N8" s="4" t="inlineStr">
        <is>
          <t>11.27%</t>
        </is>
      </c>
      <c r="O8" s="4" t="inlineStr">
        <is>
          <t>9.51%</t>
        </is>
      </c>
      <c r="P8" s="4" t="n">
        <v>317</v>
      </c>
      <c r="Q8" s="4" t="n">
        <v>77</v>
      </c>
      <c r="R8" s="4" t="n">
        <v>37</v>
      </c>
      <c r="S8" s="4" t="inlineStr">
        <is>
          <t>风险：不良/损失率全行最高；活跃率仅5.25%——收入依赖极少数活跃卡，风险集中(H5支持)</t>
        </is>
      </c>
    </row>
    <row r="9">
      <c r="A9" s="4" t="inlineStr">
        <is>
          <t>其他卡类</t>
        </is>
      </c>
      <c r="B9" s="4" t="n">
        <v>1.69</v>
      </c>
      <c r="C9" s="4" t="inlineStr">
        <is>
          <t>0.5%</t>
        </is>
      </c>
      <c r="D9" s="4" t="inlineStr">
        <is>
          <t>61.59%</t>
        </is>
      </c>
      <c r="E9" s="4" t="inlineStr">
        <is>
          <t>32.76%</t>
        </is>
      </c>
      <c r="F9" s="4" t="n">
        <v>0.26</v>
      </c>
      <c r="G9" s="4" t="n">
        <v>36.19</v>
      </c>
      <c r="H9" s="4" t="inlineStr">
        <is>
          <t>0.2%</t>
        </is>
      </c>
      <c r="I9" s="4" t="n">
        <v>21.42</v>
      </c>
      <c r="J9" s="4" t="n">
        <v>257</v>
      </c>
      <c r="K9" s="4" t="n">
        <v>785</v>
      </c>
      <c r="L9" s="4" t="n">
        <v>0.59</v>
      </c>
      <c r="M9" s="4" t="inlineStr">
        <is>
          <t>40.42%</t>
        </is>
      </c>
      <c r="N9" s="4" t="inlineStr">
        <is>
          <t>2.04%</t>
        </is>
      </c>
      <c r="O9" s="4" t="inlineStr">
        <is>
          <t>1.50%</t>
        </is>
      </c>
      <c r="P9" s="4" t="n">
        <v>52</v>
      </c>
      <c r="Q9" s="4" t="n">
        <v>80</v>
      </c>
      <c r="R9" s="4" t="n">
        <v>114</v>
      </c>
      <c r="S9" s="4" t="inlineStr">
        <is>
          <t>结构性风险：含E融卡虚拟卡(≈21万张)不良率26.06%/损失率22.03%，须专项处置</t>
        </is>
      </c>
    </row>
    <row r="10">
      <c r="A10" s="6" t="inlineStr">
        <is>
          <t>重点产品（银联p88-94，卡量按收入÷卡均收入推导）</t>
        </is>
      </c>
    </row>
    <row r="11">
      <c r="A11" s="3" t="inlineStr">
        <is>
          <t>重点产品</t>
        </is>
      </c>
      <c r="B11" s="3" t="inlineStr">
        <is>
          <t>推导卡量(万张)</t>
        </is>
      </c>
      <c r="C11" s="3" t="inlineStr">
        <is>
          <t>占有效卡</t>
        </is>
      </c>
      <c r="D11" s="3" t="inlineStr">
        <is>
          <t>卡均收入(元/月)</t>
        </is>
      </c>
      <c r="E11" s="3" t="inlineStr">
        <is>
          <t>年收入(元)</t>
        </is>
      </c>
      <c r="F11" s="3" t="inlineStr">
        <is>
          <t>不良率</t>
        </is>
      </c>
      <c r="G11" s="3" t="inlineStr">
        <is>
          <t>损失率</t>
        </is>
      </c>
      <c r="H11" s="3" t="inlineStr">
        <is>
          <t>户均透支(元)</t>
        </is>
      </c>
      <c r="I11" s="3" t="inlineStr">
        <is>
          <t>额度使用率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备注</t>
        </is>
      </c>
    </row>
    <row r="12">
      <c r="A12" s="4" t="inlineStr">
        <is>
          <t>爱车卡</t>
        </is>
      </c>
      <c r="B12" s="4" t="n">
        <v>33.9</v>
      </c>
      <c r="C12" s="4" t="inlineStr">
        <is>
          <t>10.3%</t>
        </is>
      </c>
      <c r="D12" s="4" t="n">
        <v>177.45</v>
      </c>
      <c r="E12" s="4" t="n">
        <v>2129</v>
      </c>
      <c r="F12" s="4" t="inlineStr">
        <is>
          <t>1.86%</t>
        </is>
      </c>
      <c r="G12" s="4" t="inlineStr">
        <is>
          <t>1.35%</t>
        </is>
      </c>
      <c r="H12" s="4" t="n">
        <v>20948</v>
      </c>
      <c r="I12" s="4" t="inlineStr">
        <is>
          <t>52.01%</t>
        </is>
      </c>
      <c r="J12" s="4" t="inlineStr">
        <is>
          <t>高价值：卡均收入第一、风险低、使用率最高</t>
        </is>
      </c>
    </row>
    <row r="13">
      <c r="A13" s="4" t="inlineStr">
        <is>
          <t>绿色低碳卡</t>
        </is>
      </c>
      <c r="B13" s="4" t="n">
        <v>32.3</v>
      </c>
      <c r="C13" s="4" t="inlineStr">
        <is>
          <t>9.8%</t>
        </is>
      </c>
      <c r="D13" s="4" t="n">
        <v>153.64</v>
      </c>
      <c r="E13" s="4" t="n">
        <v>1844</v>
      </c>
      <c r="F13" s="4" t="inlineStr">
        <is>
          <t>5.17%</t>
        </is>
      </c>
      <c r="G13" s="4" t="inlineStr">
        <is>
          <t>3.99%</t>
        </is>
      </c>
      <c r="H13" s="4" t="n">
        <v>12075</v>
      </c>
      <c r="I13" s="4" t="inlineStr">
        <is>
          <t>40.19%</t>
        </is>
      </c>
      <c r="J13" s="4" t="inlineStr">
        <is>
          <t>高收入但不良5.17%偏高，需跟踪</t>
        </is>
      </c>
    </row>
    <row r="14">
      <c r="A14" s="4" t="inlineStr">
        <is>
          <t>无界数字卡</t>
        </is>
      </c>
      <c r="B14" s="4" t="n">
        <v>38.8</v>
      </c>
      <c r="C14" s="4" t="inlineStr">
        <is>
          <t>11.7%</t>
        </is>
      </c>
      <c r="D14" s="4" t="n">
        <v>90.31</v>
      </c>
      <c r="E14" s="4" t="n">
        <v>1084</v>
      </c>
      <c r="F14" s="4" t="inlineStr">
        <is>
          <t>3.24%</t>
        </is>
      </c>
      <c r="G14" s="4" t="inlineStr">
        <is>
          <t>2.48%</t>
        </is>
      </c>
      <c r="H14" s="4" t="n">
        <v>9178</v>
      </c>
      <c r="I14" s="4" t="inlineStr">
        <is>
          <t>30.79%</t>
        </is>
      </c>
      <c r="J14" s="4" t="inlineStr">
        <is>
          <t>中高价值</t>
        </is>
      </c>
    </row>
    <row r="15">
      <c r="A15" s="4" t="inlineStr">
        <is>
          <t>标准卡(金卡)A</t>
        </is>
      </c>
      <c r="B15" s="4" t="n">
        <v>15.2</v>
      </c>
      <c r="C15" s="4" t="inlineStr">
        <is>
          <t>4.6%</t>
        </is>
      </c>
      <c r="D15" s="4" t="n">
        <v>91.38</v>
      </c>
      <c r="E15" s="4" t="n">
        <v>1097</v>
      </c>
      <c r="F15" s="4" t="inlineStr">
        <is>
          <t>6.57%</t>
        </is>
      </c>
      <c r="G15" s="4" t="inlineStr">
        <is>
          <t>5.31%</t>
        </is>
      </c>
      <c r="H15" s="4" t="inlineStr"/>
      <c r="I15" s="4" t="inlineStr"/>
      <c r="J15" s="4" t="inlineStr">
        <is>
          <t>不良偏高；与金卡B同质并存</t>
        </is>
      </c>
    </row>
    <row r="16">
      <c r="A16" s="4" t="inlineStr">
        <is>
          <t>蚂蚁宝藏无界联名卡</t>
        </is>
      </c>
      <c r="B16" s="4" t="n">
        <v>99.09999999999999</v>
      </c>
      <c r="C16" s="4" t="inlineStr">
        <is>
          <t>30.0%</t>
        </is>
      </c>
      <c r="D16" s="4" t="n">
        <v>11.09</v>
      </c>
      <c r="E16" s="4" t="n">
        <v>133</v>
      </c>
      <c r="F16" s="4" t="inlineStr">
        <is>
          <t>1.61%</t>
        </is>
      </c>
      <c r="G16" s="4" t="inlineStr">
        <is>
          <t>0.45%</t>
        </is>
      </c>
      <c r="H16" s="4" t="n">
        <v>953</v>
      </c>
      <c r="I16" s="4" t="inlineStr">
        <is>
          <t>5.11%</t>
        </is>
      </c>
      <c r="J16" s="4" t="inlineStr">
        <is>
          <t>低效大卡量：30%卡量仅1.2%收入；权益/获客成本待核</t>
        </is>
      </c>
    </row>
    <row r="17">
      <c r="A17" s="4" t="inlineStr">
        <is>
          <t>聚宝信用卡</t>
        </is>
      </c>
      <c r="B17" s="4" t="n">
        <v>13.6</v>
      </c>
      <c r="C17" s="4" t="inlineStr">
        <is>
          <t>4.1%</t>
        </is>
      </c>
      <c r="D17" s="4" t="n">
        <v>32.55</v>
      </c>
      <c r="E17" s="4" t="n">
        <v>391</v>
      </c>
      <c r="F17" s="4" t="inlineStr">
        <is>
          <t>2.62%</t>
        </is>
      </c>
      <c r="G17" s="4" t="inlineStr">
        <is>
          <t>1.05%</t>
        </is>
      </c>
      <c r="H17" s="4" t="inlineStr"/>
      <c r="I17" s="4" t="inlineStr"/>
      <c r="J17" s="4" t="inlineStr"/>
    </row>
    <row r="18">
      <c r="A18" s="4" t="inlineStr">
        <is>
          <t>移动无界卡</t>
        </is>
      </c>
      <c r="B18" s="4" t="n">
        <v>18.8</v>
      </c>
      <c r="C18" s="4" t="inlineStr">
        <is>
          <t>5.7%</t>
        </is>
      </c>
      <c r="D18" s="4" t="n">
        <v>14.2</v>
      </c>
      <c r="E18" s="4" t="n">
        <v>170</v>
      </c>
      <c r="F18" s="4" t="inlineStr">
        <is>
          <t>2.92%</t>
        </is>
      </c>
      <c r="G18" s="4" t="inlineStr">
        <is>
          <t>2.45%</t>
        </is>
      </c>
      <c r="H18" s="4" t="inlineStr"/>
      <c r="I18" s="4" t="inlineStr"/>
      <c r="J18" s="4" t="inlineStr">
        <is>
          <t>与无界数字卡同族，内部重叠</t>
        </is>
      </c>
    </row>
    <row r="19">
      <c r="A19" s="4" t="inlineStr">
        <is>
          <t>标准卡(金卡)B</t>
        </is>
      </c>
      <c r="B19" s="4" t="n">
        <v>4.3</v>
      </c>
      <c r="C19" s="4" t="inlineStr">
        <is>
          <t>1.3%</t>
        </is>
      </c>
      <c r="D19" s="4" t="n">
        <v>49.2</v>
      </c>
      <c r="E19" s="4" t="n">
        <v>590</v>
      </c>
      <c r="F19" s="4" t="inlineStr">
        <is>
          <t>7.49%</t>
        </is>
      </c>
      <c r="G19" s="4" t="inlineStr">
        <is>
          <t>6.49%</t>
        </is>
      </c>
      <c r="H19" s="4" t="inlineStr"/>
      <c r="I19" s="4" t="inlineStr"/>
      <c r="J19" s="4" t="inlineStr">
        <is>
          <t>同质产品并存</t>
        </is>
      </c>
    </row>
    <row r="20">
      <c r="A20" s="4" t="inlineStr">
        <is>
          <t>京东无界联名卡</t>
        </is>
      </c>
      <c r="B20" s="4" t="n">
        <v>24.4</v>
      </c>
      <c r="C20" s="4" t="inlineStr">
        <is>
          <t>7.4%</t>
        </is>
      </c>
      <c r="D20" s="4" t="n">
        <v>6.47</v>
      </c>
      <c r="E20" s="4" t="n">
        <v>78</v>
      </c>
      <c r="F20" s="4" t="inlineStr">
        <is>
          <t>1.63%</t>
        </is>
      </c>
      <c r="G20" s="4" t="inlineStr">
        <is>
          <t>0.82%</t>
        </is>
      </c>
      <c r="H20" s="4" t="n">
        <v>1103</v>
      </c>
      <c r="I20" s="4" t="inlineStr">
        <is>
          <t>6.15%</t>
        </is>
      </c>
      <c r="J20" s="4" t="inlineStr">
        <is>
          <t>低效：卡均收入6.47元/月</t>
        </is>
      </c>
    </row>
    <row r="21">
      <c r="A21" s="4" t="inlineStr">
        <is>
          <t>E融卡虚拟卡</t>
        </is>
      </c>
      <c r="B21" s="4" t="n">
        <v>21</v>
      </c>
      <c r="C21" s="4" t="inlineStr">
        <is>
          <t>6.3%</t>
        </is>
      </c>
      <c r="D21" s="4" t="n">
        <v>7.45</v>
      </c>
      <c r="E21" s="4" t="n">
        <v>89</v>
      </c>
      <c r="F21" s="4" t="inlineStr">
        <is>
          <t>26.06%</t>
        </is>
      </c>
      <c r="G21" s="4" t="inlineStr">
        <is>
          <t>22.03%</t>
        </is>
      </c>
      <c r="H21" s="4" t="inlineStr"/>
      <c r="I21" s="4" t="inlineStr"/>
      <c r="J21" s="4" t="inlineStr">
        <is>
          <t>高风险：不良率26%，建议专项处置</t>
        </is>
      </c>
    </row>
    <row r="22">
      <c r="A22" s="6" t="inlineStr">
        <is>
          <t>重复补贴与内部替代风险（E4待核，需内部成本数据验证）</t>
        </is>
      </c>
    </row>
    <row r="23">
      <c r="A23" s="7" t="inlineStr">
        <is>
          <t>• ① 电商联名双卡重复补贴：蚂蚁宝藏(≈99万张)与京东无界(≈24万张)同为电商高频客群，卡均收入仅11.09/6.47元/月，若单卡月权益/获客成本&gt;约11-30元即补贴&gt;收入；建议并表核算权益核销与获客归因。</t>
        </is>
      </c>
    </row>
    <row r="24">
      <c r="A24" s="7" t="inlineStr">
        <is>
          <t>• ② “无界”家族重叠：无界数字卡(38.8万)+移动无界卡(18.8万)+京东无界(24.4万)三产品同族，建议产品矩阵归并评估（卡面/权益差异是否支撑独立运营）。</t>
        </is>
      </c>
    </row>
    <row r="25">
      <c r="A25" s="7" t="inlineStr">
        <is>
          <t>• ③ 标准卡(金卡)双产品并存（卡均收入91.38 vs 49.20元/月，不良6.57% vs 7.49%）：同质产品，建议合并或差异化定价。</t>
        </is>
      </c>
    </row>
    <row r="26">
      <c r="A26" s="7" t="inlineStr">
        <is>
          <t>• ④ 分期卡类与现金分期/POS分期通道内部替代：分期卡活跃率仅5.25%（几乎不消费、专用于分期/取现），与现金分期产品直接竞争，且不良11.27%高于现金分期账户不良6.66%（银联p56）；建议收缩粗放扩张、转向场景化。</t>
        </is>
      </c>
    </row>
    <row r="27">
      <c r="A27" s="7" t="inlineStr">
        <is>
          <t>• ⑤ 单位卡/公务卡入口定位：单位卡活跃41.9%全行最高、不良0.70%最低，属低成本支付入口；个人公务卡(钻石卡)占本月新增8%，需防对同一客群重复发卡与权益浪费。</t>
        </is>
      </c>
    </row>
    <row r="28">
      <c r="A28" s="7" t="inlineStr">
        <is>
          <t>• ⑥ 产品×渠道×客群月度明细（新增/激活/首刷/活跃/留存/消费/分期/收入/风险）为P0缺口，本矩阵为银联横截面快照，禁止用于推导客户级结论（Q07一户多卡）。</t>
        </is>
      </c>
    </row>
  </sheetData>
  <mergeCells count="8">
    <mergeCell ref="A25:S25"/>
    <mergeCell ref="A28:S28"/>
    <mergeCell ref="A23:S23"/>
    <mergeCell ref="A22:S22"/>
    <mergeCell ref="A27:S27"/>
    <mergeCell ref="A26:S26"/>
    <mergeCell ref="A24:S24"/>
    <mergeCell ref="A10:S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口径、来源与证据等级索引</t>
        </is>
      </c>
    </row>
    <row r="2">
      <c r="A2" s="3" t="inlineStr">
        <is>
          <t>数据项</t>
        </is>
      </c>
      <c r="B2" s="3" t="inlineStr">
        <is>
          <t>来源</t>
        </is>
      </c>
      <c r="C2" s="3" t="inlineStr">
        <is>
          <t>证据等级</t>
        </is>
      </c>
      <c r="D2" s="3" t="inlineStr">
        <is>
          <t>统计期</t>
        </is>
      </c>
      <c r="E2" s="3" t="inlineStr">
        <is>
          <t>口径说明/限制</t>
        </is>
      </c>
    </row>
    <row r="3">
      <c r="A3" s="4" t="inlineStr">
        <is>
          <t>有效卡量330.05万/激活率60.39%/30天活跃率26.10%</t>
        </is>
      </c>
      <c r="B3" s="4" t="inlineStr">
        <is>
          <t>银联数据报告《202607江苏银行信用卡业务分析报告》p6</t>
        </is>
      </c>
      <c r="C3" s="4" t="inlineStr">
        <is>
          <t>E1/E2</t>
        </is>
      </c>
      <c r="D3" s="4" t="inlineStr">
        <is>
          <t>2026-07</t>
        </is>
      </c>
      <c r="E3" s="4" t="inlineStr">
        <is>
          <t>银联口径：期末有效卡=剔除销卡/销户/核销；不等于内部财务口径；报告标注商业信息不得转载</t>
        </is>
      </c>
    </row>
    <row r="4">
      <c r="A4" s="4" t="inlineStr">
        <is>
          <t>卡均消费573元/卡/月、卡均收入61.49元/月、卡均收入2 43.03元/月</t>
        </is>
      </c>
      <c r="B4" s="4" t="inlineStr">
        <is>
          <t>银联报告p6-7、p45-47</t>
        </is>
      </c>
      <c r="C4" s="4" t="inlineStr">
        <is>
          <t>E1/E2</t>
        </is>
      </c>
      <c r="D4" s="4" t="inlineStr">
        <is>
          <t>2026-07</t>
        </is>
      </c>
      <c r="E4" s="4" t="inlineStr">
        <is>
          <t>分母为期末有效卡（Q05：≠活跃卡均/客户均）；总收入=年费+利息+佣金+取现+分期息费+违约金+其他</t>
        </is>
      </c>
    </row>
    <row r="5">
      <c r="A5" s="4" t="inlineStr">
        <is>
          <t>收入结构 利息28.45%/分期息费65.74%/佣金1.85%</t>
        </is>
      </c>
      <c r="B5" s="4" t="inlineStr">
        <is>
          <t>银联报告p7、p46-48</t>
        </is>
      </c>
      <c r="C5" s="4" t="inlineStr">
        <is>
          <t>E1/E2</t>
        </is>
      </c>
      <c r="D5" s="4" t="inlineStr">
        <is>
          <t>2026-07</t>
        </is>
      </c>
      <c r="E5" s="4" t="inlineStr">
        <is>
          <t>卡均收入结构推导：利息17.50/分期40.42/回佣1.14/其他2.43元/月（与占比交叉验证一致）</t>
        </is>
      </c>
    </row>
    <row r="6">
      <c r="A6" s="4" t="inlineStr">
        <is>
          <t>有效交换收入率0.199%</t>
        </is>
      </c>
      <c r="B6" s="4" t="inlineStr">
        <is>
          <t>推导：回佣收入/年消费</t>
        </is>
      </c>
      <c r="C6" s="4" t="inlineStr">
        <is>
          <t>E2推导</t>
        </is>
      </c>
      <c r="D6" s="4" t="inlineStr">
        <is>
          <t>2026-07</t>
        </is>
      </c>
      <c r="E6" s="4" t="inlineStr">
        <is>
          <t>线上渠道占比高致有效交换率显著低于标准类0.45%；上下限0.15-0.30%</t>
        </is>
      </c>
    </row>
    <row r="7">
      <c r="A7" s="4" t="inlineStr">
        <is>
          <t>不良率3.41%/损失率2.56%（仅本金）</t>
        </is>
      </c>
      <c r="B7" s="4" t="inlineStr">
        <is>
          <t>银联报告p7、p64</t>
        </is>
      </c>
      <c r="C7" s="4" t="inlineStr">
        <is>
          <t>E1/E2</t>
        </is>
      </c>
      <c r="D7" s="4" t="inlineStr">
        <is>
          <t>2026-07</t>
        </is>
      </c>
      <c r="E7" s="4" t="inlineStr">
        <is>
          <t>M3+/M6+本金/总透支本金（存量口径）；银联2027-06未核销预测7.42%仅作压力情景</t>
        </is>
      </c>
    </row>
    <row r="8">
      <c r="A8" s="4" t="inlineStr">
        <is>
          <t>分期渗透率39.68%</t>
        </is>
      </c>
      <c r="B8" s="4" t="inlineStr">
        <is>
          <t>银联报告p54</t>
        </is>
      </c>
      <c r="C8" s="4" t="inlineStr">
        <is>
          <t>E1/E2</t>
        </is>
      </c>
      <c r="D8" s="4" t="inlineStr">
        <is>
          <t>2026-07</t>
        </is>
      </c>
      <c r="E8" s="4" t="inlineStr">
        <is>
          <t>曾有分期行为账户占比≠交易分期率/余额分期率（Q04），模型禁止替代使用</t>
        </is>
      </c>
    </row>
    <row r="9">
      <c r="A9" s="4" t="inlineStr">
        <is>
          <t>期末/日均余额、营业净收入、对客收益率、核销还原不良、FTP、直接费用、净利润、EVA</t>
        </is>
      </c>
      <c r="B9" s="4" t="inlineStr">
        <is>
          <t>内部《信用卡业务阶段性复盘报告0814》表1</t>
        </is>
      </c>
      <c r="C9" s="4" t="inlineStr">
        <is>
          <t>E0/E2</t>
        </is>
      </c>
      <c r="D9" s="4" t="inlineStr">
        <is>
          <t>2024/2025/2026H1</t>
        </is>
      </c>
      <c r="E9" s="4" t="inlineStr">
        <is>
          <t>2026H1为半年流量，率类已年化（4.37%损失率=2.17%×2）；营业净收入是否已扣FTP需财务确认（Q02）</t>
        </is>
      </c>
    </row>
    <row r="10">
      <c r="A10" s="4" t="inlineStr">
        <is>
          <t>不良生成率2.35%及业务切片</t>
        </is>
      </c>
      <c r="B10" s="4" t="inlineStr">
        <is>
          <t>内部复盘0814 表2-5</t>
        </is>
      </c>
      <c r="C10" s="4" t="inlineStr">
        <is>
          <t>E0/E2</t>
        </is>
      </c>
      <c r="D10" s="4" t="inlineStr">
        <is>
          <t>2026H1</t>
        </is>
      </c>
      <c r="E10" s="4" t="inlineStr">
        <is>
          <t>流量口径：核销还原不良生成/平均余额；协商还款类21.44%为高风险出血点</t>
        </is>
      </c>
    </row>
    <row r="11">
      <c r="A11" s="4" t="inlineStr">
        <is>
          <t>卡产品大类六类全维度</t>
        </is>
      </c>
      <c r="B11" s="4" t="inlineStr">
        <is>
          <t>银联报告p96-101</t>
        </is>
      </c>
      <c r="C11" s="4" t="inlineStr">
        <is>
          <t>E1/E2</t>
        </is>
      </c>
      <c r="D11" s="4" t="inlineStr">
        <is>
          <t>2026-07</t>
        </is>
      </c>
      <c r="E11" s="4" t="inlineStr">
        <is>
          <t>标准/主题/联名/单位/分期/其他；有效卡合计330.05万✓、收入合计20,293万✓与总表勾稽一致；透支合计199.68亿与总透支186.88亿(含息费)/184.11亿(本金)有口径差待核</t>
        </is>
      </c>
    </row>
    <row r="12">
      <c r="A12" s="4" t="inlineStr">
        <is>
          <t>重点产品收入与风险</t>
        </is>
      </c>
      <c r="B12" s="4" t="inlineStr">
        <is>
          <t>银联报告p92、p94</t>
        </is>
      </c>
      <c r="C12" s="4" t="inlineStr">
        <is>
          <t>E1/E2</t>
        </is>
      </c>
      <c r="D12" s="4" t="inlineStr">
        <is>
          <t>2026-07</t>
        </is>
      </c>
      <c r="E12" s="4" t="inlineStr">
        <is>
          <t>卡量按收入÷卡均收入推导（E4推导），蚂蚁宝藏≈99万张、E融卡虚拟卡≈21万张（不良26.06%）</t>
        </is>
      </c>
    </row>
    <row r="13">
      <c r="A13" s="4" t="inlineStr">
        <is>
          <t>卡分期/卡循环产品级日均余额与收益率</t>
        </is>
      </c>
      <c r="B13" s="4" t="inlineStr">
        <is>
          <t>jsbank_internal.db jsbank_product_income</t>
        </is>
      </c>
      <c r="C13" s="4" t="inlineStr">
        <is>
          <t>E2/E3</t>
        </is>
      </c>
      <c r="D13" s="4" t="inlineStr">
        <is>
          <t>2026-04/05</t>
        </is>
      </c>
      <c r="E13" s="4" t="inlineStr">
        <is>
          <t>卡分期日均198.58亿(yield 4.75%)、卡循环53.65亿(4.11%)；与复盘2026H1日均245.71亿接近但口径差异待核；achievement_rate定义待核</t>
        </is>
      </c>
    </row>
    <row r="14">
      <c r="A14" s="4" t="inlineStr">
        <is>
          <t>首年/生命周期UE参数（k1/m1/留存/折现/变动成本/CAC等）</t>
        </is>
      </c>
      <c r="B14" s="4" t="inlineStr">
        <is>
          <t>本模型E4假设，锚定上述E2实际值</t>
        </is>
      </c>
      <c r="C14" s="4" t="inlineStr">
        <is>
          <t>E4</t>
        </is>
      </c>
      <c r="D14" s="4" t="inlineStr">
        <is>
          <t>2026-08建模</t>
        </is>
      </c>
      <c r="E14" s="4" t="inlineStr">
        <is>
          <t>待补参数以敏感区间替代单一假设；内部P0明细（cohort/成本归因）到位后必须重算；结论区分事实与假设</t>
        </is>
      </c>
    </row>
    <row r="16">
      <c r="A16" s="2" t="inlineStr">
        <is>
          <t>证据等级定义（研究计划十一）：E0=内部明细/总账可复算；E1=监管/年报/正式公告；E2=经记录的内部材料/访谈；E3=可靠二手；E4=研究假设。所有结论标注证据等级；待补参数不当作0。</t>
        </is>
      </c>
    </row>
    <row r="17"/>
    <row r="19">
      <c r="A19" s="6" t="inlineStr">
        <is>
          <t>t1核验补充来源索引（2026-08-21，研究员-资料盘点，01报告）</t>
        </is>
      </c>
    </row>
    <row r="20">
      <c r="A20" s="10" t="inlineStr">
        <is>
          <t>数据项</t>
        </is>
      </c>
      <c r="B20" s="10" t="inlineStr">
        <is>
          <t>来源</t>
        </is>
      </c>
      <c r="C20" s="10" t="inlineStr">
        <is>
          <t>证据等级</t>
        </is>
      </c>
      <c r="D20" s="10" t="inlineStr">
        <is>
          <t>统计期</t>
        </is>
      </c>
      <c r="E20" s="10" t="inlineStr">
        <is>
          <t>口径说明/限制</t>
        </is>
      </c>
    </row>
    <row r="21">
      <c r="A21" s="4" t="inlineStr">
        <is>
          <t>用户上传xlsx与知识库版0差异</t>
        </is>
      </c>
      <c r="B21" s="4" t="inlineStr">
        <is>
          <t>feb2b7cb04c4-各行指标趋势变化 (1).xlsx vs 各行指标趋势变化.xlsx 逐单元格比对</t>
        </is>
      </c>
      <c r="C21" s="4" t="inlineStr">
        <is>
          <t>E1(核验)</t>
        </is>
      </c>
      <c r="D21" s="4" t="inlineStr">
        <is>
          <t>2016-2018(2022个别)</t>
        </is>
      </c>
      <c r="E21" s="4" t="inlineStr">
        <is>
          <t>md5不同仅为重存元数据差异；建议以知识库版为唯一基线，供t3同业锚点直接复用</t>
        </is>
      </c>
    </row>
    <row r="22">
      <c r="A22" s="4" t="inlineStr">
        <is>
          <t>卡分期产品收益率 4.75-5.99%</t>
        </is>
      </c>
      <c r="B22" s="4" t="inlineStr">
        <is>
          <t>jsbank_internal.db jsbank_product_income (2026-04/05)</t>
        </is>
      </c>
      <c r="C22" s="4" t="inlineStr">
        <is>
          <t>E0</t>
        </is>
      </c>
      <c r="D22" s="4" t="inlineStr">
        <is>
          <t>2026-04/05</t>
        </is>
      </c>
      <c r="E22" s="4" t="inlineStr">
        <is>
          <t>日均余额201.8→198.58亿；与复盘线上10.48%/线下4.30%为不同口径，待核</t>
        </is>
      </c>
    </row>
    <row r="23">
      <c r="A23" s="4" t="inlineStr">
        <is>
          <t>卡循环产品收益率 4.11-4.13%</t>
        </is>
      </c>
      <c r="B23" s="4" t="inlineStr">
        <is>
          <t>jsbank_internal.db (2026-04/05)</t>
        </is>
      </c>
      <c r="C23" s="4" t="inlineStr">
        <is>
          <t>E0</t>
        </is>
      </c>
      <c r="D23" s="4" t="inlineStr">
        <is>
          <t>2026-04/05</t>
        </is>
      </c>
      <c r="E23" s="4" t="inlineStr">
        <is>
          <t>日均53.92→53.65亿；与复盘卡循环3.12%口径差异待核</t>
        </is>
      </c>
    </row>
    <row r="24">
      <c r="A24" s="4" t="inlineStr">
        <is>
          <t>FTP区间 2.30-2.86%</t>
        </is>
      </c>
      <c r="B24" s="4" t="inlineStr">
        <is>
          <t>内部复盘0814 (2024/2025/2026H1)</t>
        </is>
      </c>
      <c r="C24" s="4" t="inlineStr">
        <is>
          <t>E0/E2</t>
        </is>
      </c>
      <c r="D24" s="4" t="inlineStr">
        <is>
          <t>2024-2026H1</t>
        </is>
      </c>
      <c r="E24" s="4" t="inlineStr">
        <is>
          <t>敏感性区间用2.30%-2.86%</t>
        </is>
      </c>
    </row>
    <row r="25">
      <c r="A25" s="4" t="inlineStr">
        <is>
          <t>发卡行回佣分润约千二、支付宝/微信不足千一、境外约2%</t>
        </is>
      </c>
      <c r="B25" s="4" t="inlineStr">
        <is>
          <t>20260805_关于中国银联_银联数据与信用卡行业的业务交流讨论.docx 访谈纪要</t>
        </is>
      </c>
      <c r="C25" s="4" t="inlineStr">
        <is>
          <t>E2</t>
        </is>
      </c>
      <c r="D25" s="4" t="inlineStr">
        <is>
          <t>2026-08-05</t>
        </is>
      </c>
      <c r="E25" s="4" t="inlineStr">
        <is>
          <t>佐证有效交换率0.199%推导；费率演进百二→千三；现金分期监管限5万；场景分期多亏损</t>
        </is>
      </c>
    </row>
    <row r="26">
      <c r="A26" s="4" t="inlineStr">
        <is>
          <t>信用卡中收主体=线上循环交易回佣 2024=1.5亿→2025=0.88亿</t>
        </is>
      </c>
      <c r="B26" s="4" t="inlineStr">
        <is>
          <t>零售信贷部中收_权威拆解_20260715.md</t>
        </is>
      </c>
      <c r="C26" s="4" t="inlineStr">
        <is>
          <t>E0/E2</t>
        </is>
      </c>
      <c r="D26" s="4" t="inlineStr">
        <is>
          <t>2024/2025</t>
        </is>
      </c>
      <c r="E26" s="4" t="inlineStr">
        <is>
          <t>银联/网联渠道下滑+2024一次性基数回吐；印证交换收入结构性走弱</t>
        </is>
      </c>
    </row>
    <row r="27">
      <c r="A27" s="4" t="inlineStr">
        <is>
          <t>信用卡余额 2026-06末 231.6亿(当月-5.8亿、较年初-55.7亿)</t>
        </is>
      </c>
      <c r="B27" s="4" t="inlineStr">
        <is>
          <t>20260621_江苏银行个贷数据更新.docx 内部周报</t>
        </is>
      </c>
      <c r="C27" s="4" t="inlineStr">
        <is>
          <t>E0</t>
        </is>
      </c>
      <c r="D27" s="4" t="inlineStr">
        <is>
          <t>2026-06-21</t>
        </is>
      </c>
      <c r="E27" s="4" t="inlineStr">
        <is>
          <t>与复盘2026H1期末213.98亿存在口径差(约17.6亿)待核</t>
        </is>
      </c>
    </row>
    <row r="28">
      <c r="A28" s="4" t="inlineStr">
        <is>
          <t>三张表模板卡均实际收入41.21元</t>
        </is>
      </c>
      <c r="B28" s="4" t="inlineStr">
        <is>
          <t>20260811_信用卡业务分析材料_三张表.xlsx</t>
        </is>
      </c>
      <c r="C28" s="4" t="inlineStr">
        <is>
          <t>E3/E4</t>
        </is>
      </c>
      <c r="D28" s="4" t="inlineStr">
        <is>
          <t>2025/2026H1</t>
        </is>
      </c>
      <c r="E28" s="4" t="inlineStr">
        <is>
          <t>与银联卡均收入2 43.03元口径差待核；表1/2/3数值均为【待填】模板，非事实数据</t>
        </is>
      </c>
    </row>
    <row r="29">
      <c r="A29" s="4" t="inlineStr">
        <is>
          <t>7项P0缺口核对</t>
        </is>
      </c>
      <c r="B29" s="4" t="inlineStr">
        <is>
          <t>01_知识库盘点与完善度评估.md §2.2</t>
        </is>
      </c>
      <c r="C29" s="4" t="inlineStr">
        <is>
          <t>—</t>
        </is>
      </c>
      <c r="D29" s="4" t="inlineStr">
        <is>
          <t>2026-08-21</t>
        </is>
      </c>
      <c r="E29" s="4" t="inlineStr">
        <is>
          <t>P0-1漏斗明细/P0-3 CAC/P0-4权益补贴/P0-6运营分摊仍缺；P0-2/P0-5部分(产品级有、切片缺)；P0-7(Q02)未确认；飞书对标表仍登录拦截</t>
        </is>
      </c>
    </row>
  </sheetData>
  <mergeCells count="2">
    <mergeCell ref="A16:E17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2026-08-21T02:26:17Z</dcterms:created>
  <dcterms:modified xmlns:dcterms="http://purl.org/dc/terms/" xmlns:xsi="http://www.w3.org/2001/XMLSchema-instance" xsi:type="dcterms:W3CDTF">2026-08-21T02:28:16Z</dcterms:modified>
</cp:coreProperties>
</file>