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svg" ContentType="image/svg+xml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wdp" ContentType="image/vnd.ms-photo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07"/>
  <workbookPr/>
  <xr:revisionPtr revIDLastSave="0" documentId="13_ncr:1_{00000000-0000-0000-0000-00000000000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/>
  <c r="C35" i="1"/>
  <c r="D35" i="1"/>
  <c r="E35" i="1"/>
  <c r="B36" i="1"/>
  <c r="C36" i="1"/>
  <c r="D36" i="1"/>
  <c r="E36" i="1"/>
  <c r="B37" i="1"/>
  <c r="C37" i="1"/>
  <c r="D37" i="1"/>
  <c r="E37" i="1"/>
</calcChain>
</file>

<file path=xl/sharedStrings.xml><?xml version="1.0" encoding="utf-8"?>
<sst xmlns="http://schemas.openxmlformats.org/spreadsheetml/2006/main" count="68" uniqueCount="66">
  <si>
    <t>居住服务模块化 · 单元经济测算模型（2万线索 RCT 场景推演）</t>
  </si>
  <si>
    <t>口径：数字均为研判推演（标注「研判推断」）；客户管家 7.4% 为单源内部样本；验证协议出结果前不可外推为结论</t>
  </si>
  <si>
    <t>表1 · 线索漏斗对比（2万线索 RCT 场景）</t>
  </si>
  <si>
    <t>指标</t>
  </si>
  <si>
    <t>传统直分组</t>
  </si>
  <si>
    <t>客户管家组</t>
  </si>
  <si>
    <t>增量</t>
  </si>
  <si>
    <t>数据来源/口径</t>
  </si>
  <si>
    <t>线索数</t>
  </si>
  <si>
    <t>RCT 分组假设</t>
  </si>
  <si>
    <t>转带看率</t>
  </si>
  <si>
    <t>大盘 5% / 客户管家 7.4%（内部样本·单源）</t>
  </si>
  <si>
    <t>带看数</t>
  </si>
  <si>
    <t>=线索数×转带看率</t>
  </si>
  <si>
    <t>带看转签率（假设）</t>
  </si>
  <si>
    <t>研判推断（行业区间）</t>
  </si>
  <si>
    <t>成交单数</t>
  </si>
  <si>
    <t>=带看数×带看转签率</t>
  </si>
  <si>
    <t>单均佣金（2.0%×300万）</t>
  </si>
  <si>
    <t>研判推断：2.0%×300万=6万/单</t>
  </si>
  <si>
    <t>佣金总额</t>
  </si>
  <si>
    <t>=成交单数×单均佣金</t>
  </si>
  <si>
    <t>表2 · 平台毛利与协同成本对比</t>
  </si>
  <si>
    <t>项目</t>
  </si>
  <si>
    <t>传统组</t>
  </si>
  <si>
    <t>管家组</t>
  </si>
  <si>
    <t>口径</t>
  </si>
  <si>
    <t>备注</t>
  </si>
  <si>
    <t>见表1</t>
  </si>
  <si>
    <t/>
  </si>
  <si>
    <t>线索+AI 成本（60元/条）</t>
  </si>
  <si>
    <t>研判推断：60元/条×1万条</t>
  </si>
  <si>
    <t>AI 维护客户信息成本</t>
  </si>
  <si>
    <t>分账给角色（75%）</t>
  </si>
  <si>
    <t>研判推断：顾问15%+信息10%+撮合20%+履约25%+报告5%=75%</t>
  </si>
  <si>
    <t>角色分账合计</t>
  </si>
  <si>
    <t>协同成本（佣金8%）</t>
  </si>
  <si>
    <t>研判推断：分账系统+责任扯皮+培训</t>
  </si>
  <si>
    <t>模块化新增成本</t>
  </si>
  <si>
    <t>平台毛利润</t>
  </si>
  <si>
    <t>=佣金-线索成本-分账-协同</t>
  </si>
  <si>
    <t>贡献利润率</t>
  </si>
  <si>
    <t>=平台毛利/佣金</t>
  </si>
  <si>
    <t>Q2 平台整体利润率 14.6% 作参照</t>
  </si>
  <si>
    <t>结论判定（验证协议逻辑）</t>
  </si>
  <si>
    <t>扩张闸门</t>
  </si>
  <si>
    <t>模块贡献毛利 &gt; 0 且「删选项后满意度」不降（转化率仅参考）</t>
  </si>
  <si>
    <t>一票否决</t>
  </si>
  <si>
    <t>责任事故归责清晰度不达标（RCT 增加该否决项）</t>
  </si>
  <si>
    <t>止损条件</t>
  </si>
  <si>
    <t>若转化提升但毛利/满意度不升 → 不扩张（验证协议原文）</t>
  </si>
  <si>
    <t>窗口期</t>
  </si>
  <si>
    <t>12-18 个月（研判估计）；零佣平台铺开会压缩总收费盘，试点需毛利安全垫</t>
  </si>
  <si>
    <t>RCT 指标</t>
  </si>
  <si>
    <t>60天转化、客诉、NPS、贡献毛利 + 删选项后满意度 + 归责清晰度</t>
  </si>
  <si>
    <t>表3 · 敏感性矩阵：转带看率 × 协同成本率 → 平台毛利（万元/万条线索）</t>
  </si>
  <si>
    <t>转带看率 \ 协同成本率</t>
  </si>
  <si>
    <t>6%</t>
  </si>
  <si>
    <t>8%</t>
  </si>
  <si>
    <t>10%</t>
  </si>
  <si>
    <t>12%</t>
  </si>
  <si>
    <t>6.0%</t>
  </si>
  <si>
    <t>7.4%</t>
  </si>
  <si>
    <t>9.0%</t>
  </si>
  <si>
    <t>公式：平台毛利 = 成交单数×单均佣金 − 线索成本(60万) − 分账(佣金×75%) − 协同成本(佣金×c)；带看转签率假设 15%，单均佣金 6 万。</t>
  </si>
  <si>
    <t>注：所有参数为研判推断；客户管家 7.4% 为单源内部样本；2 万线索 RCT 出结果前仅供决策讨论。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</si>
</sst>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applyNumberFormat="1"/>
    <xf numFmtId="9" applyNumberFormat="1"/>
    <xf numFmtId="3" applyNumberFormat="1"/>
    <xf numFmtId="165" applyNumberFormat="1"/>
  </cellStyleXfs>
  <cellXfs count="5">
    <xf numFmtId="0" fontId="0" fillId="0" borderId="0" xfId="0"/>
    <xf xfId="0" quotePrefix="0" pivotButton="0" numFmtId="164" applyNumberFormat="1"/>
    <xf xfId="0" quotePrefix="0" pivotButton="0" numFmtId="9" applyNumberFormat="1"/>
    <xf xfId="0" quotePrefix="0" pivotButton="0" numFmtId="3" applyNumberFormat="1"/>
    <xf xfId="0" quotePrefix="0" pivotButton="0" numFmtId="165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E40"/>
  <sheetViews>
    <sheetView showGridLines="1" tabSelected="0" workbookViewId="0">
      <selection activeCell="A1" sqref="A1"/>
    </sheetView>
  </sheetViews>
  <sheetFormatPr defaultRowHeight="18.00" customHeight="1" defaultColWidth="10.79"/>
  <sheetData>
    <row r="1" ht="18.00" customHeight="true">
      <c r="A1" t="s">
        <v>0</v>
      </c>
    </row>
    <row r="2" ht="18.00" customHeight="true">
      <c r="A2" t="s">
        <v>1</v>
      </c>
    </row>
    <row r="4" ht="18.00" customHeight="true">
      <c r="A4" t="s">
        <v>2</v>
      </c>
    </row>
    <row r="5" ht="18.00" customHeight="true">
      <c r="A5" t="s">
        <v>3</v>
      </c>
      <c r="B5" t="s">
        <v>4</v>
      </c>
      <c r="C5" t="s">
        <v>5</v>
      </c>
      <c r="D5" t="s">
        <v>6</v>
      </c>
      <c r="E5" t="s">
        <v>7</v>
      </c>
    </row>
    <row r="6" ht="18.00" customHeight="true">
      <c r="A6" t="s">
        <v>8</v>
      </c>
      <c r="B6">
        <v>10000</v>
      </c>
      <c r="C6">
        <v>10000</v>
      </c>
      <c r="D6">
        <v>0</v>
      </c>
      <c r="E6" t="s">
        <v>9</v>
      </c>
    </row>
    <row r="7" ht="18.00" customHeight="true">
      <c r="A7" t="s">
        <v>10</v>
      </c>
      <c r="B7" s="1">
        <v>0.05</v>
      </c>
      <c r="C7" s="1">
        <v>0.074</v>
      </c>
      <c r="D7" s="1">
        <v>0.024</v>
      </c>
      <c r="E7" t="s">
        <v>11</v>
      </c>
    </row>
    <row r="8" ht="18.00" customHeight="true">
      <c r="A8" t="s">
        <v>12</v>
      </c>
      <c r="B8">
        <v>500</v>
      </c>
      <c r="C8">
        <v>740</v>
      </c>
      <c r="D8">
        <v>240</v>
      </c>
      <c r="E8" t="s">
        <v>13</v>
      </c>
    </row>
    <row r="9" ht="18.00" customHeight="true">
      <c r="A9" t="s">
        <v>14</v>
      </c>
      <c r="B9" s="2">
        <v>0.15</v>
      </c>
      <c r="C9" s="2">
        <v>0.15</v>
      </c>
      <c r="D9" s="2">
        <v>0</v>
      </c>
      <c r="E9" t="s">
        <v>15</v>
      </c>
    </row>
    <row r="10" ht="18.00" customHeight="true">
      <c r="A10" t="s">
        <v>16</v>
      </c>
      <c r="B10">
        <v>75</v>
      </c>
      <c r="C10">
        <v>111</v>
      </c>
      <c r="D10">
        <v>36</v>
      </c>
      <c r="E10" t="s">
        <v>17</v>
      </c>
    </row>
    <row r="11" ht="18.00" customHeight="true">
      <c r="A11" t="s">
        <v>18</v>
      </c>
      <c r="B11" s="3">
        <v>60000</v>
      </c>
      <c r="C11" s="3">
        <v>60000</v>
      </c>
      <c r="D11" s="3">
        <v>0</v>
      </c>
      <c r="E11" t="s">
        <v>19</v>
      </c>
    </row>
    <row r="12" ht="18.00" customHeight="true">
      <c r="A12" t="s">
        <v>20</v>
      </c>
      <c r="B12" s="3">
        <v>4500000</v>
      </c>
      <c r="C12" s="3">
        <v>6660000</v>
      </c>
      <c r="D12" s="3">
        <v>2160000</v>
      </c>
      <c r="E12" t="s">
        <v>21</v>
      </c>
    </row>
    <row r="15" ht="18.00" customHeight="true">
      <c r="A15" t="s">
        <v>22</v>
      </c>
    </row>
    <row r="16" ht="18.00" customHeight="true">
      <c r="A16" t="s">
        <v>23</v>
      </c>
      <c r="B16" t="s">
        <v>24</v>
      </c>
      <c r="C16" t="s">
        <v>25</v>
      </c>
      <c r="D16" t="s">
        <v>26</v>
      </c>
      <c r="E16" t="s">
        <v>27</v>
      </c>
    </row>
    <row r="17" ht="18.00" customHeight="true">
      <c r="A17" t="s">
        <v>20</v>
      </c>
      <c r="B17" s="3">
        <v>4500000</v>
      </c>
      <c r="C17" s="3">
        <v>6660000</v>
      </c>
      <c r="D17" t="s">
        <v>28</v>
      </c>
      <c r="E17" t="s">
        <v>29</v>
      </c>
    </row>
    <row r="18" ht="18.00" customHeight="true">
      <c r="A18" t="s">
        <v>30</v>
      </c>
      <c r="B18" s="3">
        <v>600000</v>
      </c>
      <c r="C18" s="3">
        <v>600000</v>
      </c>
      <c r="D18" t="s">
        <v>31</v>
      </c>
      <c r="E18" t="s">
        <v>32</v>
      </c>
    </row>
    <row r="19" ht="18.00" customHeight="true">
      <c r="A19" t="s">
        <v>33</v>
      </c>
      <c r="B19" s="3">
        <v>3375000</v>
      </c>
      <c r="C19" s="3">
        <v>4995000</v>
      </c>
      <c r="D19" t="s">
        <v>34</v>
      </c>
      <c r="E19" t="s">
        <v>35</v>
      </c>
    </row>
    <row r="20" ht="18.00" customHeight="true">
      <c r="A20" t="s">
        <v>36</v>
      </c>
      <c r="B20" s="3">
        <v>360000</v>
      </c>
      <c r="C20" s="3">
        <v>532800</v>
      </c>
      <c r="D20" t="s">
        <v>37</v>
      </c>
      <c r="E20" t="s">
        <v>38</v>
      </c>
    </row>
    <row r="21" ht="18.00" customHeight="true">
      <c r="A21" t="s">
        <v>39</v>
      </c>
      <c r="B21" s="3">
        <v>165000</v>
      </c>
      <c r="C21" s="3">
        <v>532200</v>
      </c>
      <c r="D21" t="s">
        <v>40</v>
      </c>
      <c r="E21" t="s">
        <v>29</v>
      </c>
    </row>
    <row r="22" ht="18.00" customHeight="true">
      <c r="A22" t="s">
        <v>41</v>
      </c>
      <c r="B22" s="1">
        <v>0.037</v>
      </c>
      <c r="C22" s="1">
        <v>0.08</v>
      </c>
      <c r="D22" t="s">
        <v>42</v>
      </c>
      <c r="E22" t="s">
        <v>43</v>
      </c>
    </row>
    <row r="25" ht="18.00" customHeight="true">
      <c r="A25" t="s">
        <v>44</v>
      </c>
    </row>
    <row r="26" ht="18.00" customHeight="true">
      <c r="A26" t="s">
        <v>45</v>
      </c>
      <c r="B26" t="s">
        <v>46</v>
      </c>
    </row>
    <row r="27" ht="18.00" customHeight="true">
      <c r="A27" t="s">
        <v>47</v>
      </c>
      <c r="B27" t="s">
        <v>48</v>
      </c>
    </row>
    <row r="28" ht="18.00" customHeight="true">
      <c r="A28" t="s">
        <v>49</v>
      </c>
      <c r="B28" t="s">
        <v>50</v>
      </c>
    </row>
    <row r="29" ht="18.00" customHeight="true">
      <c r="A29" t="s">
        <v>51</v>
      </c>
      <c r="B29" t="s">
        <v>52</v>
      </c>
    </row>
    <row r="30" ht="18.00" customHeight="true">
      <c r="A30" t="s">
        <v>53</v>
      </c>
      <c r="B30" t="s">
        <v>54</v>
      </c>
    </row>
    <row r="33" ht="18.00" customHeight="true">
      <c r="A33" t="s">
        <v>55</v>
      </c>
    </row>
    <row r="34" ht="18.00" customHeight="true">
      <c r="A34" t="s">
        <v>56</v>
      </c>
      <c r="B34" t="s">
        <v>57</v>
      </c>
      <c r="C34" t="s">
        <v>58</v>
      </c>
      <c r="D34" t="s">
        <v>59</v>
      </c>
      <c r="E34" t="s">
        <v>60</v>
      </c>
    </row>
    <row r="35" ht="18.00" customHeight="true">
      <c r="A35" t="s">
        <v>61</v>
      </c>
      <c r="B35" s="4">
        <f>(10000*0.06*0.15*60000-600000-10000*0.06*0.15*60000*0.75-10000*0.06*0.15*60000*0.06)/10000</f>
        <v>42.6</v>
      </c>
      <c r="C35" s="4">
        <f>(10000*0.06*0.15*60000-600000-10000*0.06*0.15*60000*0.75-10000*0.06*0.15*60000*0.08)/10000</f>
        <v>31.8</v>
      </c>
      <c r="D35" s="4">
        <f>(10000*0.06*0.15*60000-600000-10000*0.06*0.15*60000*0.75-10000*0.06*0.15*60000*0.1)/10000</f>
        <v>21</v>
      </c>
      <c r="E35" s="4">
        <f>(10000*0.06*0.15*60000-600000-10000*0.06*0.15*60000*0.75-10000*0.06*0.15*60000*0.12)/10000</f>
        <v>10.2</v>
      </c>
    </row>
    <row r="36" ht="18.00" customHeight="true">
      <c r="A36" t="s">
        <v>62</v>
      </c>
      <c r="B36" s="4">
        <f>(10000*0.074*0.15*60000-600000-10000*0.074*0.15*60000*0.75-10000*0.074*0.15*60000*0.06)/10000</f>
        <v>66.54</v>
      </c>
      <c r="C36" s="4">
        <f>(10000*0.074*0.15*60000-600000-10000*0.074*0.15*60000*0.75-10000*0.074*0.15*60000*0.08)/10000</f>
        <v>53.22</v>
      </c>
      <c r="D36" s="4">
        <f>(10000*0.074*0.15*60000-600000-10000*0.074*0.15*60000*0.75-10000*0.074*0.15*60000*0.1)/10000</f>
        <v>39.9</v>
      </c>
      <c r="E36" s="4">
        <f>(10000*0.074*0.15*60000-600000-10000*0.074*0.15*60000*0.75-10000*0.074*0.15*60000*0.12)/10000</f>
        <v>26.58</v>
      </c>
    </row>
    <row r="37" ht="18.00" customHeight="true">
      <c r="A37" t="s">
        <v>63</v>
      </c>
      <c r="B37" s="4">
        <f>(10000*0.09*0.15*60000-600000-10000*0.09*0.15*60000*0.75-10000*0.09*0.15*60000*0.06)/10000</f>
        <v>93.9</v>
      </c>
      <c r="C37" s="4">
        <f>(10000*0.09*0.15*60000-600000-10000*0.09*0.15*60000*0.75-10000*0.09*0.15*60000*0.08)/10000</f>
        <v>77.7</v>
      </c>
      <c r="D37" s="4">
        <f>(10000*0.09*0.15*60000-600000-10000*0.09*0.15*60000*0.75-10000*0.09*0.15*60000*0.1)/10000</f>
        <v>61.5</v>
      </c>
      <c r="E37" s="4">
        <f>(10000*0.09*0.15*60000-600000-10000*0.09*0.15*60000*0.75-10000*0.09*0.15*60000*0.12)/10000</f>
        <v>45.3</v>
      </c>
    </row>
    <row r="39" ht="18.00" customHeight="true">
      <c r="A39" t="s">
        <v>64</v>
      </c>
    </row>
    <row r="40" ht="18.00" customHeight="true">
      <c r="A40" t="s">
        <v>65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1970-01-01T00:00:00Z</dcterms:created>
  <dcterms:modified xsi:type="dcterms:W3CDTF">1970-01-01T00:00:00Z</dcterms:modified>
</cp:coreProperties>
</file>